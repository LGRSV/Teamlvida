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MENTOS ESPECIAIS V2" sheetId="1" state="visible" r:id="rId1"/>
    <sheet name="BANCO DE CAPACITOR (59)" sheetId="2" state="visible" r:id="rId2"/>
    <sheet name="PREMISSAS E PREÇOS UNITÁRIOS" sheetId="3" state="visible" r:id="rId3"/>
    <sheet name="RACIOCÍN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</font>
    <font>
      <color rgb="000070C0"/>
    </font>
    <font>
      <b val="1"/>
      <color rgb="000070C0"/>
    </font>
    <font>
      <b val="1"/>
      <color rgb="00006100"/>
    </font>
    <font>
      <b val="1"/>
      <color rgb="009C650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39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right" vertical="top"/>
    </xf>
    <xf numFmtId="164" fontId="5" fillId="0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2" borderId="0" pivotButton="0" quotePrefix="0" xfId="0"/>
    <xf numFmtId="164" fontId="3" fillId="2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8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4" fillId="0" borderId="1" pivotButton="0" quotePrefix="0" xfId="0"/>
    <xf numFmtId="0" fontId="8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9" customWidth="1" min="4" max="4"/>
    <col width="14" customWidth="1" min="5" max="5"/>
    <col width="10" customWidth="1" min="6" max="6"/>
    <col width="30" customWidth="1" min="7" max="7"/>
    <col width="55" customWidth="1" min="8" max="8"/>
    <col width="38" customWidth="1" min="9" max="9"/>
    <col width="20" customWidth="1" min="10" max="10"/>
    <col width="14" customWidth="1" min="11" max="11"/>
    <col width="13" customWidth="1" min="12" max="12"/>
    <col width="15" customWidth="1" min="13" max="13"/>
    <col width="12" customWidth="1" min="14" max="14"/>
    <col width="45" customWidth="1" min="15" max="15"/>
  </cols>
  <sheetData>
    <row r="1" ht="24" customHeight="1">
      <c r="A1" s="1" t="inlineStr">
        <is>
          <t>EQUIPAMENTOS ESPECIAIS V2 — RELIGADORES (79) E REGULADORES (58) | SS PENDENTES POSTO COEP</t>
        </is>
      </c>
    </row>
    <row r="2">
      <c r="A2" s="2" t="inlineStr">
        <is>
          <t>Fontes: BASE DE SS PENDENTES POSTO DO COEP (filtro Localização 79/58) · Tensão: Ajustes Religadores/Reguladores · Materiais: aba PREMISSAS (placa tratada como CONTROLE) · MO: ETO 30 'Custo MO' · ETO COEP TODOS OS STATUS não utilizada (próximo raciocínio)</t>
        </is>
      </c>
    </row>
    <row r="3" ht="30" customHeight="1">
      <c r="A3" s="3" t="inlineStr">
        <is>
          <t>SS</t>
        </is>
      </c>
      <c r="B3" s="3" t="inlineStr">
        <is>
          <t>Localização (Ativo)</t>
        </is>
      </c>
      <c r="C3" s="3" t="inlineStr">
        <is>
          <t>Equipamento</t>
        </is>
      </c>
      <c r="D3" s="3" t="inlineStr">
        <is>
          <t>Tensão (kV)</t>
        </is>
      </c>
      <c r="E3" s="3" t="inlineStr">
        <is>
          <t>Modelo / Relé</t>
        </is>
      </c>
      <c r="F3" s="3" t="inlineStr">
        <is>
          <t>Potência (kVA)</t>
        </is>
      </c>
      <c r="G3" s="3" t="inlineStr">
        <is>
          <t>Peça a Substituir</t>
        </is>
      </c>
      <c r="H3" s="3" t="inlineStr">
        <is>
          <t>Evidência na descrição da SS</t>
        </is>
      </c>
      <c r="I3" s="3" t="inlineStr">
        <is>
          <t>Materiais (premissas)</t>
        </is>
      </c>
      <c r="J3" s="3" t="inlineStr">
        <is>
          <t>Cód. Materiais</t>
        </is>
      </c>
      <c r="K3" s="3" t="inlineStr">
        <is>
          <t>Valor Material</t>
        </is>
      </c>
      <c r="L3" s="3" t="inlineStr">
        <is>
          <t>Valor MO</t>
        </is>
      </c>
      <c r="M3" s="3" t="inlineStr">
        <is>
          <t>Total</t>
        </is>
      </c>
      <c r="N3" s="3" t="inlineStr">
        <is>
          <t>Confiança</t>
        </is>
      </c>
      <c r="O3" s="3" t="inlineStr">
        <is>
          <t>Observações</t>
        </is>
      </c>
    </row>
    <row r="4">
      <c r="A4" s="4" t="inlineStr">
        <is>
          <t>ETO-COEP 00156/2025</t>
        </is>
      </c>
      <c r="B4" s="5" t="inlineStr">
        <is>
          <t>7957126085</t>
        </is>
      </c>
      <c r="C4" s="5" t="inlineStr">
        <is>
          <t>RELIGADOR</t>
        </is>
      </c>
      <c r="D4" s="5" t="n">
        <v>34.5</v>
      </c>
      <c r="E4" s="5" t="inlineStr">
        <is>
          <t>NOJA RC10</t>
        </is>
      </c>
      <c r="F4" s="5" t="inlineStr">
        <is>
          <t>—</t>
        </is>
      </c>
      <c r="G4" s="6" t="inlineStr">
        <is>
          <t>CONTROLE COMPLETO</t>
        </is>
      </c>
      <c r="H4" s="6" t="inlineStr">
        <is>
          <t>DMSL: 'curto desceu para o controle... Necessário substituir controle completo, substituir cabo de alimentação da BT'</t>
        </is>
      </c>
      <c r="I4" s="6" t="inlineStr">
        <is>
          <t>Controle completo 34,5</t>
        </is>
      </c>
      <c r="J4" s="4" t="inlineStr">
        <is>
          <t>692263</t>
        </is>
      </c>
      <c r="K4" s="7" t="n">
        <v>38094.72</v>
      </c>
      <c r="L4" s="7" t="n">
        <v>13209.34</v>
      </c>
      <c r="M4" s="8" t="n">
        <v>51304.06</v>
      </c>
      <c r="N4" s="9" t="inlineStr">
        <is>
          <t>OK</t>
        </is>
      </c>
      <c r="O4" s="6" t="inlineStr">
        <is>
          <t>Cabo de alimentação BT sem premissa de preço</t>
        </is>
      </c>
    </row>
    <row r="5">
      <c r="A5" s="4" t="inlineStr">
        <is>
          <t>ETO-COEP 00050/2026</t>
        </is>
      </c>
      <c r="B5" s="5" t="inlineStr">
        <is>
          <t>7953610256</t>
        </is>
      </c>
      <c r="C5" s="5" t="inlineStr">
        <is>
          <t>RELIGADOR</t>
        </is>
      </c>
      <c r="D5" s="5" t="n">
        <v>34.5</v>
      </c>
      <c r="E5" s="5" t="inlineStr">
        <is>
          <t>NOJA RC10</t>
        </is>
      </c>
      <c r="F5" s="5" t="inlineStr">
        <is>
          <t>—</t>
        </is>
      </c>
      <c r="G5" s="6" t="inlineStr">
        <is>
          <t>PARTE ATIVA (TANQUE)</t>
        </is>
      </c>
      <c r="H5" s="6" t="inlineStr">
        <is>
          <t>DMSL: 'tanque furado... Pendência: substituir a parte ativa com cordão umbilical'</t>
        </is>
      </c>
      <c r="I5" s="6" t="inlineStr">
        <is>
          <t>Parte ativa 34,5</t>
        </is>
      </c>
      <c r="J5" s="4" t="inlineStr">
        <is>
          <t>690005</t>
        </is>
      </c>
      <c r="K5" s="7" t="n">
        <v>38151.48</v>
      </c>
      <c r="L5" s="7" t="n">
        <v>13209.34</v>
      </c>
      <c r="M5" s="8" t="n">
        <v>51360.82000000001</v>
      </c>
      <c r="N5" s="9" t="inlineStr">
        <is>
          <t>OK</t>
        </is>
      </c>
      <c r="O5" s="6" t="inlineStr">
        <is>
          <t>Relé e DPS já substituídos em campo; cordão umbilical acompanha a parte ativa</t>
        </is>
      </c>
    </row>
    <row r="6">
      <c r="A6" s="4" t="inlineStr">
        <is>
          <t>ETO-COEP 00063/2026</t>
        </is>
      </c>
      <c r="B6" s="5" t="inlineStr">
        <is>
          <t>7944559149</t>
        </is>
      </c>
      <c r="C6" s="5" t="inlineStr">
        <is>
          <t>RELIGADOR</t>
        </is>
      </c>
      <c r="D6" s="5" t="n">
        <v>34.5</v>
      </c>
      <c r="E6" s="5" t="inlineStr">
        <is>
          <t>NOJA RC10</t>
        </is>
      </c>
      <c r="F6" s="5" t="inlineStr">
        <is>
          <t>—</t>
        </is>
      </c>
      <c r="G6" s="6" t="inlineStr">
        <is>
          <t>PLACA =&gt; CONTROLE COMPLETO</t>
        </is>
      </c>
      <c r="H6" s="6" t="inlineStr">
        <is>
          <t>'Pendência: Sim será necessário substituir a placa / curto na placa'</t>
        </is>
      </c>
      <c r="I6" s="6" t="inlineStr">
        <is>
          <t>Placa tratada como Controle completo 34,5</t>
        </is>
      </c>
      <c r="J6" s="4" t="inlineStr">
        <is>
          <t>692263</t>
        </is>
      </c>
      <c r="K6" s="7" t="n">
        <v>38094.72</v>
      </c>
      <c r="L6" s="7" t="n">
        <v>13209.34</v>
      </c>
      <c r="M6" s="8" t="n">
        <v>51304.06</v>
      </c>
      <c r="N6" s="9" t="inlineStr">
        <is>
          <t>OK</t>
        </is>
      </c>
      <c r="O6" s="6" t="inlineStr">
        <is>
          <t>Premissa do usuário: placa é considerada CONTROLE. COEP avalia usar placa do estoque (5 un., cód. 647641)</t>
        </is>
      </c>
    </row>
    <row r="7">
      <c r="A7" s="4" t="inlineStr">
        <is>
          <t>ETO-COEP 00158/2025</t>
        </is>
      </c>
      <c r="B7" s="5" t="inlineStr">
        <is>
          <t>7942485096</t>
        </is>
      </c>
      <c r="C7" s="5" t="inlineStr">
        <is>
          <t>RELIGADOR</t>
        </is>
      </c>
      <c r="D7" s="5" t="n">
        <v>34.5</v>
      </c>
      <c r="E7" s="5" t="inlineStr">
        <is>
          <t>NOJA RC10</t>
        </is>
      </c>
      <c r="F7" s="5" t="inlineStr">
        <is>
          <t>—</t>
        </is>
      </c>
      <c r="G7" s="6" t="inlineStr">
        <is>
          <t>PARTE ATIVA (TANQUE)</t>
        </is>
      </c>
      <c r="H7" s="6" t="inlineStr">
        <is>
          <t>DMSL: 'Substituir somente o tanque... Não tem necessidade de substituir o controle'</t>
        </is>
      </c>
      <c r="I7" s="6" t="inlineStr">
        <is>
          <t>Parte ativa 34,5</t>
        </is>
      </c>
      <c r="J7" s="4" t="inlineStr">
        <is>
          <t>690005</t>
        </is>
      </c>
      <c r="K7" s="7" t="n">
        <v>38151.48</v>
      </c>
      <c r="L7" s="7" t="n">
        <v>13209.34</v>
      </c>
      <c r="M7" s="8" t="n">
        <v>51360.82000000001</v>
      </c>
      <c r="N7" s="9" t="inlineStr">
        <is>
          <t>OK</t>
        </is>
      </c>
      <c r="O7" s="6" t="inlineStr">
        <is>
          <t>—</t>
        </is>
      </c>
    </row>
    <row r="8">
      <c r="A8" s="4" t="inlineStr">
        <is>
          <t>ETO-COEP 00129/2026</t>
        </is>
      </c>
      <c r="B8" s="5" t="inlineStr">
        <is>
          <t>7937102148</t>
        </is>
      </c>
      <c r="C8" s="5" t="inlineStr">
        <is>
          <t>RELIGADOR</t>
        </is>
      </c>
      <c r="D8" s="5" t="n">
        <v>34.5</v>
      </c>
      <c r="E8" s="5" t="inlineStr">
        <is>
          <t>NOJA RC10</t>
        </is>
      </c>
      <c r="F8" s="5" t="inlineStr">
        <is>
          <t>—</t>
        </is>
      </c>
      <c r="G8" s="6" t="inlineStr">
        <is>
          <t>PARTE ATIVA (TANQUE)</t>
        </is>
      </c>
      <c r="H8" s="6" t="inlineStr">
        <is>
          <t>'Tanque com defeito, realizar substituição do tanque'</t>
        </is>
      </c>
      <c r="I8" s="6" t="inlineStr">
        <is>
          <t>Parte ativa 34,5</t>
        </is>
      </c>
      <c r="J8" s="4" t="inlineStr">
        <is>
          <t>690005</t>
        </is>
      </c>
      <c r="K8" s="7" t="n">
        <v>38151.48</v>
      </c>
      <c r="L8" s="7" t="n">
        <v>13209.34</v>
      </c>
      <c r="M8" s="8" t="n">
        <v>51360.82000000001</v>
      </c>
      <c r="N8" s="9" t="inlineStr">
        <is>
          <t>OK</t>
        </is>
      </c>
      <c r="O8" s="6" t="inlineStr">
        <is>
          <t>—</t>
        </is>
      </c>
    </row>
    <row r="9">
      <c r="A9" s="4" t="inlineStr">
        <is>
          <t>ETO-COEP 00024/2026</t>
        </is>
      </c>
      <c r="B9" s="5" t="inlineStr">
        <is>
          <t>7933585074</t>
        </is>
      </c>
      <c r="C9" s="5" t="inlineStr">
        <is>
          <t>RELIGADOR</t>
        </is>
      </c>
      <c r="D9" s="5" t="n">
        <v>34.5</v>
      </c>
      <c r="E9" s="5" t="inlineStr">
        <is>
          <t>NOJA RC10</t>
        </is>
      </c>
      <c r="F9" s="5" t="inlineStr">
        <is>
          <t>—</t>
        </is>
      </c>
      <c r="G9" s="6" t="inlineStr">
        <is>
          <t>PARTE ATIVA (TANQUE)</t>
        </is>
      </c>
      <c r="H9" s="6" t="inlineStr">
        <is>
          <t>'REALIZAR SUBSTITUIÇÃO DO TANQUE, O MESMO ESTÁ COM DEFEITO'</t>
        </is>
      </c>
      <c r="I9" s="6" t="inlineStr">
        <is>
          <t>Parte ativa 34,5</t>
        </is>
      </c>
      <c r="J9" s="4" t="inlineStr">
        <is>
          <t>690005</t>
        </is>
      </c>
      <c r="K9" s="7" t="n">
        <v>38151.48</v>
      </c>
      <c r="L9" s="7" t="n">
        <v>13209.34</v>
      </c>
      <c r="M9" s="8" t="n">
        <v>51360.82000000001</v>
      </c>
      <c r="N9" s="9" t="inlineStr">
        <is>
          <t>OK</t>
        </is>
      </c>
      <c r="O9" s="6" t="inlineStr">
        <is>
          <t>—</t>
        </is>
      </c>
    </row>
    <row r="10">
      <c r="A10" s="4" t="inlineStr">
        <is>
          <t>ETO-COEP 00040/2026</t>
        </is>
      </c>
      <c r="B10" s="5" t="inlineStr">
        <is>
          <t>7931608059</t>
        </is>
      </c>
      <c r="C10" s="5" t="inlineStr">
        <is>
          <t>RELIGADOR</t>
        </is>
      </c>
      <c r="D10" s="5" t="n">
        <v>13.8</v>
      </c>
      <c r="E10" s="5" t="inlineStr">
        <is>
          <t>NOJA RC10</t>
        </is>
      </c>
      <c r="F10" s="5" t="inlineStr">
        <is>
          <t>—</t>
        </is>
      </c>
      <c r="G10" s="6" t="inlineStr">
        <is>
          <t>PARTE ATIVA (TANQUE) + RÁDIO</t>
        </is>
      </c>
      <c r="H10" s="6" t="inlineStr">
        <is>
          <t>DMSL: 'tanque danificado... substituir o tanque e o rádio do equipamento, que está queimado'</t>
        </is>
      </c>
      <c r="I10" s="6" t="inlineStr">
        <is>
          <t>Parte ativa 13,8 + Bateria lítio + Rádio GE Orbit</t>
        </is>
      </c>
      <c r="J10" s="4" t="inlineStr">
        <is>
          <t>690001 + 647867+64939</t>
        </is>
      </c>
      <c r="K10" s="7" t="n">
        <v>36397.8</v>
      </c>
      <c r="L10" s="7" t="n">
        <v>11016.94</v>
      </c>
      <c r="M10" s="8" t="n">
        <v>47414.74000000001</v>
      </c>
      <c r="N10" s="9" t="inlineStr">
        <is>
          <t>OK</t>
        </is>
      </c>
      <c r="O10" s="6" t="inlineStr">
        <is>
          <t>—</t>
        </is>
      </c>
    </row>
    <row r="11">
      <c r="A11" s="4" t="inlineStr">
        <is>
          <t>ETO-COEP 00126/2026</t>
        </is>
      </c>
      <c r="B11" s="5" t="inlineStr">
        <is>
          <t>7931219078</t>
        </is>
      </c>
      <c r="C11" s="5" t="inlineStr">
        <is>
          <t>RELIGADOR</t>
        </is>
      </c>
      <c r="D11" s="5" t="n">
        <v>34.5</v>
      </c>
      <c r="E11" s="5" t="inlineStr">
        <is>
          <t>NOJA RC10</t>
        </is>
      </c>
      <c r="F11" s="5" t="inlineStr">
        <is>
          <t>—</t>
        </is>
      </c>
      <c r="G11" s="6" t="inlineStr">
        <is>
          <t>TRAFO AUXILIAR (SEM COMPRA COEP)</t>
        </is>
      </c>
      <c r="H11" s="6" t="inlineStr">
        <is>
          <t>COEP: 'SUBSTITUIÇÃO DO TRAFO É DIRETO COM OS COCM´S, NÃO TEM COMPRA DE EQUIPAMENTO ESPECIAL'</t>
        </is>
      </c>
      <c r="I11" s="6" t="inlineStr">
        <is>
          <t>—</t>
        </is>
      </c>
      <c r="J11" s="4" t="inlineStr">
        <is>
          <t>—</t>
        </is>
      </c>
      <c r="K11" s="7" t="n">
        <v>0</v>
      </c>
      <c r="L11" s="7" t="n">
        <v>0</v>
      </c>
      <c r="M11" s="8" t="n">
        <v>0</v>
      </c>
      <c r="N11" s="9" t="inlineStr">
        <is>
          <t>OK</t>
        </is>
      </c>
      <c r="O11" s="6" t="inlineStr">
        <is>
          <t>Fora do escopo de compra de equipamento especial — tratativa via COCM</t>
        </is>
      </c>
    </row>
    <row r="12">
      <c r="A12" s="4" t="inlineStr">
        <is>
          <t>ETO-COEP 00120/2026</t>
        </is>
      </c>
      <c r="B12" s="5" t="inlineStr">
        <is>
          <t>7929376022</t>
        </is>
      </c>
      <c r="C12" s="5" t="inlineStr">
        <is>
          <t>RELIGADOR</t>
        </is>
      </c>
      <c r="D12" s="5" t="n">
        <v>34.5</v>
      </c>
      <c r="E12" s="5" t="inlineStr">
        <is>
          <t>NOJA RC10</t>
        </is>
      </c>
      <c r="F12" s="5" t="inlineStr">
        <is>
          <t>—</t>
        </is>
      </c>
      <c r="G12" s="6" t="inlineStr">
        <is>
          <t>CONTROLE COMPLETO</t>
        </is>
      </c>
      <c r="H12" s="6" t="inlineStr">
        <is>
          <t>DMSL: 'Trocar controle completo' (relé em curto)</t>
        </is>
      </c>
      <c r="I12" s="6" t="inlineStr">
        <is>
          <t>Controle completo 34,5</t>
        </is>
      </c>
      <c r="J12" s="4" t="inlineStr">
        <is>
          <t>692263</t>
        </is>
      </c>
      <c r="K12" s="7" t="n">
        <v>38094.72</v>
      </c>
      <c r="L12" s="7" t="n">
        <v>13209.34</v>
      </c>
      <c r="M12" s="8" t="n">
        <v>51304.06</v>
      </c>
      <c r="N12" s="9" t="inlineStr">
        <is>
          <t>OK</t>
        </is>
      </c>
      <c r="O12" s="6" t="inlineStr">
        <is>
          <t>COCM enviou controle NOJA por falta de modelo na SS</t>
        </is>
      </c>
    </row>
    <row r="13">
      <c r="A13" s="4" t="inlineStr">
        <is>
          <t>ETO-COEP 00123/2026</t>
        </is>
      </c>
      <c r="B13" s="5" t="inlineStr">
        <is>
          <t>7928564039</t>
        </is>
      </c>
      <c r="C13" s="5" t="inlineStr">
        <is>
          <t>RELIGADOR</t>
        </is>
      </c>
      <c r="D13" s="5" t="n">
        <v>34.5</v>
      </c>
      <c r="E13" s="5" t="inlineStr">
        <is>
          <t>NOJA RC10</t>
        </is>
      </c>
      <c r="F13" s="5" t="inlineStr">
        <is>
          <t>—</t>
        </is>
      </c>
      <c r="G13" s="6" t="inlineStr">
        <is>
          <t>EQUIPAMENTO COMPLETO</t>
        </is>
      </c>
      <c r="H13" s="6" t="inlineStr">
        <is>
          <t>DMSL: 'tanque, módulo e relé com defeito, solicitar troca do equipamento'</t>
        </is>
      </c>
      <c r="I13" s="6" t="inlineStr">
        <is>
          <t>Equipamento completo 34,5</t>
        </is>
      </c>
      <c r="J13" s="4" t="inlineStr">
        <is>
          <t>690005+692263</t>
        </is>
      </c>
      <c r="K13" s="7" t="n">
        <v>76246.2</v>
      </c>
      <c r="L13" s="7" t="n">
        <v>13209.34</v>
      </c>
      <c r="M13" s="8" t="n">
        <v>89455.53999999999</v>
      </c>
      <c r="N13" s="10" t="inlineStr">
        <is>
          <t>VERIFICAR</t>
        </is>
      </c>
      <c r="O13" s="6" t="inlineStr">
        <is>
          <t>COEP ainda questiona modelo/faixa de tensão na SS</t>
        </is>
      </c>
    </row>
    <row r="14">
      <c r="A14" s="4" t="inlineStr">
        <is>
          <t>ETO-COEP 00128/2026</t>
        </is>
      </c>
      <c r="B14" s="5" t="inlineStr">
        <is>
          <t>7928241200</t>
        </is>
      </c>
      <c r="C14" s="5" t="inlineStr">
        <is>
          <t>RELIGADOR</t>
        </is>
      </c>
      <c r="D14" s="5" t="n">
        <v>34.5</v>
      </c>
      <c r="E14" s="5" t="inlineStr">
        <is>
          <t>NOJA RC10</t>
        </is>
      </c>
      <c r="F14" s="5" t="inlineStr">
        <is>
          <t>—</t>
        </is>
      </c>
      <c r="G14" s="6" t="inlineStr">
        <is>
          <t>PARTE ATIVA (TANQUE)</t>
        </is>
      </c>
      <c r="H14" s="6" t="inlineStr">
        <is>
          <t>'constatado que o tanque está em curto... para substituição do tanque'</t>
        </is>
      </c>
      <c r="I14" s="6" t="inlineStr">
        <is>
          <t>Parte ativa 34,5</t>
        </is>
      </c>
      <c r="J14" s="4" t="inlineStr">
        <is>
          <t>690005</t>
        </is>
      </c>
      <c r="K14" s="7" t="n">
        <v>38151.48</v>
      </c>
      <c r="L14" s="7" t="n">
        <v>13209.34</v>
      </c>
      <c r="M14" s="8" t="n">
        <v>51360.82000000001</v>
      </c>
      <c r="N14" s="9" t="inlineStr">
        <is>
          <t>OK</t>
        </is>
      </c>
      <c r="O14" s="6" t="inlineStr">
        <is>
          <t>—</t>
        </is>
      </c>
    </row>
    <row r="15">
      <c r="A15" s="4" t="inlineStr">
        <is>
          <t>ETO-COEP 00029/2026</t>
        </is>
      </c>
      <c r="B15" s="5" t="inlineStr">
        <is>
          <t>7927646026</t>
        </is>
      </c>
      <c r="C15" s="5" t="inlineStr">
        <is>
          <t>RELIGADOR</t>
        </is>
      </c>
      <c r="D15" s="5" t="n">
        <v>34.5</v>
      </c>
      <c r="E15" s="5" t="inlineStr">
        <is>
          <t>NOJA RC10</t>
        </is>
      </c>
      <c r="F15" s="5" t="inlineStr">
        <is>
          <t>—</t>
        </is>
      </c>
      <c r="G15" s="6" t="inlineStr">
        <is>
          <t>PARTE ATIVA (TANQUE)</t>
        </is>
      </c>
      <c r="H15" s="6" t="inlineStr">
        <is>
          <t>DMSL: 'defeito no tanque... necessário substituir o tanque... e troca os isoladores'</t>
        </is>
      </c>
      <c r="I15" s="6" t="inlineStr">
        <is>
          <t>Parte ativa 34,5</t>
        </is>
      </c>
      <c r="J15" s="4" t="inlineStr">
        <is>
          <t>690005</t>
        </is>
      </c>
      <c r="K15" s="7" t="n">
        <v>38151.48</v>
      </c>
      <c r="L15" s="7" t="n">
        <v>13209.34</v>
      </c>
      <c r="M15" s="8" t="n">
        <v>51360.82000000001</v>
      </c>
      <c r="N15" s="9" t="inlineStr">
        <is>
          <t>OK</t>
        </is>
      </c>
      <c r="O15" s="6" t="inlineStr">
        <is>
          <t>Isoladores e fonte sem premissa de preço</t>
        </is>
      </c>
    </row>
    <row r="16">
      <c r="A16" s="4" t="inlineStr">
        <is>
          <t>ETO-COEP 00143/2025</t>
        </is>
      </c>
      <c r="B16" s="5" t="inlineStr">
        <is>
          <t>7927446001</t>
        </is>
      </c>
      <c r="C16" s="5" t="inlineStr">
        <is>
          <t>RELIGADOR</t>
        </is>
      </c>
      <c r="D16" s="5" t="n">
        <v>34.5</v>
      </c>
      <c r="E16" s="5" t="inlineStr">
        <is>
          <t>TAVRIDA</t>
        </is>
      </c>
      <c r="F16" s="5" t="inlineStr">
        <is>
          <t>—</t>
        </is>
      </c>
      <c r="G16" s="6" t="inlineStr">
        <is>
          <t>EQUIPAMENTO COMPLETO</t>
        </is>
      </c>
      <c r="H16" s="6" t="inlineStr">
        <is>
          <t>DMSL: 'Placa de alimentação danificada... não temos material sobressalente... substituir o equipamento completo'</t>
        </is>
      </c>
      <c r="I16" s="6" t="inlineStr">
        <is>
          <t>Equipamento completo 34,5</t>
        </is>
      </c>
      <c r="J16" s="4" t="inlineStr">
        <is>
          <t>690005+692263</t>
        </is>
      </c>
      <c r="K16" s="7" t="n">
        <v>76246.2</v>
      </c>
      <c r="L16" s="7" t="n">
        <v>13209.34</v>
      </c>
      <c r="M16" s="8" t="n">
        <v>89455.53999999999</v>
      </c>
      <c r="N16" s="10" t="inlineStr">
        <is>
          <t>VERIFICAR</t>
        </is>
      </c>
      <c r="O16" s="6" t="inlineStr">
        <is>
          <t>COEP aguarda DMSL confirmar se é só a placa (=&gt; controle) ou completo; rádio existente será reaproveitado</t>
        </is>
      </c>
    </row>
    <row r="17">
      <c r="A17" s="4" t="inlineStr">
        <is>
          <t>ETO-COEP 00045/2026</t>
        </is>
      </c>
      <c r="B17" s="5" t="inlineStr">
        <is>
          <t>7927396052</t>
        </is>
      </c>
      <c r="C17" s="5" t="inlineStr">
        <is>
          <t>RELIGADOR</t>
        </is>
      </c>
      <c r="D17" s="5" t="n">
        <v>34.5</v>
      </c>
      <c r="E17" s="5" t="inlineStr">
        <is>
          <t>NOJA RC10</t>
        </is>
      </c>
      <c r="F17" s="5" t="inlineStr">
        <is>
          <t>—</t>
        </is>
      </c>
      <c r="G17" s="6" t="inlineStr">
        <is>
          <t>PARTE ATIVA (TANQUE)</t>
        </is>
      </c>
      <c r="H17" s="6" t="inlineStr">
        <is>
          <t>DMSL: 'apenas o tanque... encontra-se queimado. Favor, substituir parte ativa'</t>
        </is>
      </c>
      <c r="I17" s="6" t="inlineStr">
        <is>
          <t>Parte ativa 34,5</t>
        </is>
      </c>
      <c r="J17" s="4" t="inlineStr">
        <is>
          <t>690005</t>
        </is>
      </c>
      <c r="K17" s="7" t="n">
        <v>38151.48</v>
      </c>
      <c r="L17" s="7" t="n">
        <v>13209.34</v>
      </c>
      <c r="M17" s="8" t="n">
        <v>51360.82000000001</v>
      </c>
      <c r="N17" s="9" t="inlineStr">
        <is>
          <t>OK</t>
        </is>
      </c>
      <c r="O17" s="6" t="inlineStr">
        <is>
          <t>—</t>
        </is>
      </c>
    </row>
    <row r="18">
      <c r="A18" s="4" t="inlineStr">
        <is>
          <t>ETO-COEP 00051/2026</t>
        </is>
      </c>
      <c r="B18" s="5" t="inlineStr">
        <is>
          <t>7926442035</t>
        </is>
      </c>
      <c r="C18" s="5" t="inlineStr">
        <is>
          <t>RELIGADOR</t>
        </is>
      </c>
      <c r="D18" s="5" t="n">
        <v>34.5</v>
      </c>
      <c r="E18" s="5" t="inlineStr">
        <is>
          <t>NOJA RC10</t>
        </is>
      </c>
      <c r="F18" s="5" t="inlineStr">
        <is>
          <t>—</t>
        </is>
      </c>
      <c r="G18" s="6" t="inlineStr">
        <is>
          <t>PARTE ATIVA (TANQUE)</t>
        </is>
      </c>
      <c r="H18" s="6" t="inlineStr">
        <is>
          <t>DMSL: 'Parte ativa do equipamento danificada: necessita substituição' + trafo danificado</t>
        </is>
      </c>
      <c r="I18" s="6" t="inlineStr">
        <is>
          <t>Parte ativa 34,5</t>
        </is>
      </c>
      <c r="J18" s="4" t="inlineStr">
        <is>
          <t>690005</t>
        </is>
      </c>
      <c r="K18" s="7" t="n">
        <v>38151.48</v>
      </c>
      <c r="L18" s="7" t="n">
        <v>13209.34</v>
      </c>
      <c r="M18" s="8" t="n">
        <v>51360.82000000001</v>
      </c>
      <c r="N18" s="9" t="inlineStr">
        <is>
          <t>OK</t>
        </is>
      </c>
      <c r="O18" s="6" t="inlineStr">
        <is>
          <t>Trafo auxiliar sem premissa (tratativa COCM); limpeza de faixa pendente</t>
        </is>
      </c>
    </row>
    <row r="19">
      <c r="A19" s="4" t="inlineStr">
        <is>
          <t>ETO-COEP 00078/2026</t>
        </is>
      </c>
      <c r="B19" s="5" t="inlineStr">
        <is>
          <t>7926089013</t>
        </is>
      </c>
      <c r="C19" s="5" t="inlineStr">
        <is>
          <t>RELIGADOR</t>
        </is>
      </c>
      <c r="D19" s="5" t="n">
        <v>34.5</v>
      </c>
      <c r="E19" s="5" t="inlineStr">
        <is>
          <t>NOJA RC10</t>
        </is>
      </c>
      <c r="F19" s="5" t="inlineStr">
        <is>
          <t>—</t>
        </is>
      </c>
      <c r="G19" s="6" t="inlineStr">
        <is>
          <t>PARTE ATIVA (TANQUE)</t>
        </is>
      </c>
      <c r="H19" s="6" t="inlineStr">
        <is>
          <t>DMSL: 'realizar a troca da parte ativa do equipamento... substituir o tanque'</t>
        </is>
      </c>
      <c r="I19" s="6" t="inlineStr">
        <is>
          <t>Parte ativa 34,5</t>
        </is>
      </c>
      <c r="J19" s="4" t="inlineStr">
        <is>
          <t>690005</t>
        </is>
      </c>
      <c r="K19" s="7" t="n">
        <v>38151.48</v>
      </c>
      <c r="L19" s="7" t="n">
        <v>13209.34</v>
      </c>
      <c r="M19" s="8" t="n">
        <v>51360.82000000001</v>
      </c>
      <c r="N19" s="9" t="inlineStr">
        <is>
          <t>OK</t>
        </is>
      </c>
      <c r="O19" s="6" t="inlineStr">
        <is>
          <t>—</t>
        </is>
      </c>
    </row>
    <row r="20">
      <c r="A20" s="4" t="inlineStr">
        <is>
          <t>ETO-COEP 00048/2026</t>
        </is>
      </c>
      <c r="B20" s="5" t="inlineStr">
        <is>
          <t>7925871077</t>
        </is>
      </c>
      <c r="C20" s="5" t="inlineStr">
        <is>
          <t>RELIGADOR</t>
        </is>
      </c>
      <c r="D20" s="5" t="n">
        <v>34.5</v>
      </c>
      <c r="E20" s="5" t="inlineStr">
        <is>
          <t>NOJA RC10</t>
        </is>
      </c>
      <c r="F20" s="5" t="inlineStr">
        <is>
          <t>—</t>
        </is>
      </c>
      <c r="G20" s="6" t="inlineStr">
        <is>
          <t>PARTE ATIVA (TANQUE)</t>
        </is>
      </c>
      <c r="H20" s="6" t="inlineStr">
        <is>
          <t>'equipamento está com defeito na parte ativa' (religador segue by-passado)</t>
        </is>
      </c>
      <c r="I20" s="6" t="inlineStr">
        <is>
          <t>Parte ativa 34,5</t>
        </is>
      </c>
      <c r="J20" s="4" t="inlineStr">
        <is>
          <t>690005</t>
        </is>
      </c>
      <c r="K20" s="7" t="n">
        <v>38151.48</v>
      </c>
      <c r="L20" s="7" t="n">
        <v>13209.34</v>
      </c>
      <c r="M20" s="8" t="n">
        <v>51360.82000000001</v>
      </c>
      <c r="N20" s="10" t="inlineStr">
        <is>
          <t>VERIFICAR</t>
        </is>
      </c>
      <c r="O20" s="6" t="inlineStr">
        <is>
          <t>COEP aguardando retorno do DMSL</t>
        </is>
      </c>
    </row>
    <row r="21">
      <c r="A21" s="4" t="inlineStr">
        <is>
          <t>ETO-COEP 00059/2026</t>
        </is>
      </c>
      <c r="B21" s="5" t="inlineStr">
        <is>
          <t>7925744087</t>
        </is>
      </c>
      <c r="C21" s="5" t="inlineStr">
        <is>
          <t>RELIGADOR</t>
        </is>
      </c>
      <c r="D21" s="5" t="n">
        <v>34.5</v>
      </c>
      <c r="E21" s="5" t="inlineStr">
        <is>
          <t>NOJA RC10</t>
        </is>
      </c>
      <c r="F21" s="5" t="inlineStr">
        <is>
          <t>—</t>
        </is>
      </c>
      <c r="G21" s="6" t="inlineStr">
        <is>
          <t>PARTE ATIVA (TANQUE)</t>
        </is>
      </c>
      <c r="H21" s="6" t="inlineStr">
        <is>
          <t>DMSL: 'água dentro da parte interna do tanque e cabo umbilical encharcado... substituir tanque e cabo umbilical'</t>
        </is>
      </c>
      <c r="I21" s="6" t="inlineStr">
        <is>
          <t>Parte ativa 34,5</t>
        </is>
      </c>
      <c r="J21" s="4" t="inlineStr">
        <is>
          <t>690005</t>
        </is>
      </c>
      <c r="K21" s="7" t="n">
        <v>38151.48</v>
      </c>
      <c r="L21" s="7" t="n">
        <v>13209.34</v>
      </c>
      <c r="M21" s="8" t="n">
        <v>51360.82000000001</v>
      </c>
      <c r="N21" s="9" t="inlineStr">
        <is>
          <t>OK</t>
        </is>
      </c>
      <c r="O21" s="6" t="inlineStr">
        <is>
          <t>Cabo umbilical acompanha a parte ativa</t>
        </is>
      </c>
    </row>
    <row r="22">
      <c r="A22" s="4" t="inlineStr">
        <is>
          <t>ETO-COEP 00058/2026</t>
        </is>
      </c>
      <c r="B22" s="5" t="inlineStr">
        <is>
          <t>7925733015</t>
        </is>
      </c>
      <c r="C22" s="5" t="inlineStr">
        <is>
          <t>RELIGADOR</t>
        </is>
      </c>
      <c r="D22" s="5" t="n">
        <v>34.5</v>
      </c>
      <c r="E22" s="5" t="inlineStr">
        <is>
          <t>NOJA RC10</t>
        </is>
      </c>
      <c r="F22" s="5" t="inlineStr">
        <is>
          <t>—</t>
        </is>
      </c>
      <c r="G22" s="6" t="inlineStr">
        <is>
          <t>PARTE ATIVA (TANQUE)</t>
        </is>
      </c>
      <c r="H22" s="6" t="inlineStr">
        <is>
          <t>DMSL: 'Tanque do equipamento em Curto... substituir tanque'</t>
        </is>
      </c>
      <c r="I22" s="6" t="inlineStr">
        <is>
          <t>Parte ativa 34,5</t>
        </is>
      </c>
      <c r="J22" s="4" t="inlineStr">
        <is>
          <t>690005</t>
        </is>
      </c>
      <c r="K22" s="7" t="n">
        <v>38151.48</v>
      </c>
      <c r="L22" s="7" t="n">
        <v>13209.34</v>
      </c>
      <c r="M22" s="8" t="n">
        <v>51360.82000000001</v>
      </c>
      <c r="N22" s="9" t="inlineStr">
        <is>
          <t>OK</t>
        </is>
      </c>
      <c r="O22" s="6" t="inlineStr">
        <is>
          <t>—</t>
        </is>
      </c>
    </row>
    <row r="23">
      <c r="A23" s="4" t="inlineStr">
        <is>
          <t>ETO-COEP 00222/2025</t>
        </is>
      </c>
      <c r="B23" s="5" t="inlineStr">
        <is>
          <t>7925087021</t>
        </is>
      </c>
      <c r="C23" s="5" t="inlineStr">
        <is>
          <t>RELIGADOR</t>
        </is>
      </c>
      <c r="D23" s="5" t="n">
        <v>34.5</v>
      </c>
      <c r="E23" s="5" t="inlineStr">
        <is>
          <t>NOJA RC10</t>
        </is>
      </c>
      <c r="F23" s="5" t="inlineStr">
        <is>
          <t>—</t>
        </is>
      </c>
      <c r="G23" s="6" t="inlineStr">
        <is>
          <t>PARTE ATIVA (TANQUE)</t>
        </is>
      </c>
      <c r="H23" s="6" t="inlineStr">
        <is>
          <t>'Realizar a substituição do tanque do equipamento'</t>
        </is>
      </c>
      <c r="I23" s="6" t="inlineStr">
        <is>
          <t>Parte ativa 34,5</t>
        </is>
      </c>
      <c r="J23" s="4" t="inlineStr">
        <is>
          <t>690005</t>
        </is>
      </c>
      <c r="K23" s="7" t="n">
        <v>38151.48</v>
      </c>
      <c r="L23" s="7" t="n">
        <v>13209.34</v>
      </c>
      <c r="M23" s="8" t="n">
        <v>51360.82000000001</v>
      </c>
      <c r="N23" s="9" t="inlineStr">
        <is>
          <t>OK</t>
        </is>
      </c>
      <c r="O23" s="6" t="inlineStr">
        <is>
          <t>Material em rota de entrega</t>
        </is>
      </c>
    </row>
    <row r="24">
      <c r="A24" s="4" t="inlineStr">
        <is>
          <t>ETO-COEP 00079/2025</t>
        </is>
      </c>
      <c r="B24" s="5" t="inlineStr">
        <is>
          <t>7923927122</t>
        </is>
      </c>
      <c r="C24" s="5" t="inlineStr">
        <is>
          <t>RELIGADOR</t>
        </is>
      </c>
      <c r="D24" s="5" t="n">
        <v>34.5</v>
      </c>
      <c r="E24" s="5" t="inlineStr">
        <is>
          <t>NOJA RC10</t>
        </is>
      </c>
      <c r="F24" s="5" t="inlineStr">
        <is>
          <t>—</t>
        </is>
      </c>
      <c r="G24" s="6" t="inlineStr">
        <is>
          <t>PARTE ATIVA (TANQUE)</t>
        </is>
      </c>
      <c r="H24" s="6" t="inlineStr">
        <is>
          <t>'substituir tanque do RL-7923927122 em curto... Tensão 34,5kv'</t>
        </is>
      </c>
      <c r="I24" s="6" t="inlineStr">
        <is>
          <t>Parte ativa 34,5</t>
        </is>
      </c>
      <c r="J24" s="4" t="inlineStr">
        <is>
          <t>690005</t>
        </is>
      </c>
      <c r="K24" s="7" t="n">
        <v>38151.48</v>
      </c>
      <c r="L24" s="7" t="n">
        <v>13209.34</v>
      </c>
      <c r="M24" s="8" t="n">
        <v>51360.82000000001</v>
      </c>
      <c r="N24" s="10" t="inlineStr">
        <is>
          <t>VERIFICAR</t>
        </is>
      </c>
      <c r="O24" s="6" t="inlineStr">
        <is>
          <t>COEP: equipamento sem parecer técnico do DMSL</t>
        </is>
      </c>
    </row>
    <row r="25">
      <c r="A25" s="4" t="inlineStr">
        <is>
          <t>ETO-COEP 00124/2026</t>
        </is>
      </c>
      <c r="B25" s="5" t="inlineStr">
        <is>
          <t>7923673004</t>
        </is>
      </c>
      <c r="C25" s="5" t="inlineStr">
        <is>
          <t>RELIGADOR</t>
        </is>
      </c>
      <c r="D25" s="5" t="n">
        <v>13.8</v>
      </c>
      <c r="E25" s="5" t="inlineStr">
        <is>
          <t>ARTECHE P500</t>
        </is>
      </c>
      <c r="F25" s="5" t="inlineStr">
        <is>
          <t>—</t>
        </is>
      </c>
      <c r="G25" s="6" t="inlineStr">
        <is>
          <t>RELÉ</t>
        </is>
      </c>
      <c r="H25" s="6" t="inlineStr">
        <is>
          <t>'RELIGADOR COM RELÉ DANIFICADO, REALIZAR SUBSTITUIÇÃO'</t>
        </is>
      </c>
      <c r="I25" s="6" t="inlineStr">
        <is>
          <t>Relé prot. multifunção 50/51</t>
        </is>
      </c>
      <c r="J25" s="4" t="inlineStr">
        <is>
          <t>625510</t>
        </is>
      </c>
      <c r="K25" s="7" t="n">
        <v>10454.01</v>
      </c>
      <c r="L25" s="7" t="n">
        <v>11016.94</v>
      </c>
      <c r="M25" s="8" t="n">
        <v>21470.95</v>
      </c>
      <c r="N25" s="10" t="inlineStr">
        <is>
          <t>VERIFICAR</t>
        </is>
      </c>
      <c r="O25" s="6" t="inlineStr">
        <is>
          <t>Modelo em campo é ARTECHE P500 — confirmar compatibilidade do relé da premissa; COEP pediu modelo/tensão</t>
        </is>
      </c>
    </row>
    <row r="26">
      <c r="A26" s="4" t="inlineStr">
        <is>
          <t>ETO-COEP 00120/2025</t>
        </is>
      </c>
      <c r="B26" s="5" t="inlineStr">
        <is>
          <t>7920024127</t>
        </is>
      </c>
      <c r="C26" s="5" t="inlineStr">
        <is>
          <t>RELIGADOR</t>
        </is>
      </c>
      <c r="D26" s="5" t="n">
        <v>34.5</v>
      </c>
      <c r="E26" s="5" t="inlineStr">
        <is>
          <t>SCHNEIDER ADVC</t>
        </is>
      </c>
      <c r="F26" s="5" t="inlineStr">
        <is>
          <t>—</t>
        </is>
      </c>
      <c r="G26" s="6" t="inlineStr">
        <is>
          <t>EQUIPAMENTO COMPLETO + CHAVE FACA</t>
        </is>
      </c>
      <c r="H26" s="6" t="inlineStr">
        <is>
          <t>DMSL: 'relé e a parte ativa... com defeito, sendo necessária a substituição completa por um modelo NOJA RC 10' + chave de saída fase A</t>
        </is>
      </c>
      <c r="I26" s="6" t="inlineStr">
        <is>
          <t>Equipamento completo 34,5 + Chave secc faca 36,2kV 630A (fase A)</t>
        </is>
      </c>
      <c r="J26" s="4" t="inlineStr">
        <is>
          <t>690005+692263 + 90556</t>
        </is>
      </c>
      <c r="K26" s="7" t="n">
        <v>76982.62999999999</v>
      </c>
      <c r="L26" s="7" t="n">
        <v>13209.34</v>
      </c>
      <c r="M26" s="8" t="n">
        <v>90191.96999999999</v>
      </c>
      <c r="N26" s="9" t="inlineStr">
        <is>
          <t>OK</t>
        </is>
      </c>
      <c r="O26" s="6" t="inlineStr">
        <is>
          <t>—</t>
        </is>
      </c>
    </row>
    <row r="27">
      <c r="A27" s="4" t="inlineStr">
        <is>
          <t>ETO-COEP 00074/2026</t>
        </is>
      </c>
      <c r="B27" s="5" t="inlineStr">
        <is>
          <t>7919270014</t>
        </is>
      </c>
      <c r="C27" s="5" t="inlineStr">
        <is>
          <t>RELIGADOR</t>
        </is>
      </c>
      <c r="D27" s="5" t="n">
        <v>34.5</v>
      </c>
      <c r="E27" s="5" t="inlineStr">
        <is>
          <t>COOPER F6</t>
        </is>
      </c>
      <c r="F27" s="5" t="inlineStr">
        <is>
          <t>—</t>
        </is>
      </c>
      <c r="G27" s="6" t="inlineStr">
        <is>
          <t>EQUIPAMENTO COMPLETO</t>
        </is>
      </c>
      <c r="H27" s="6" t="inlineStr">
        <is>
          <t>DMSL: 'Substituir Equipamento completo problema na placa de alimentação e na parte ativa'</t>
        </is>
      </c>
      <c r="I27" s="6" t="inlineStr">
        <is>
          <t>Equipamento completo 34,5</t>
        </is>
      </c>
      <c r="J27" s="4" t="inlineStr">
        <is>
          <t>690005+692263</t>
        </is>
      </c>
      <c r="K27" s="7" t="n">
        <v>76246.2</v>
      </c>
      <c r="L27" s="7" t="n">
        <v>13209.34</v>
      </c>
      <c r="M27" s="8" t="n">
        <v>89455.53999999999</v>
      </c>
      <c r="N27" s="9" t="inlineStr">
        <is>
          <t>OK</t>
        </is>
      </c>
      <c r="O27" s="6" t="inlineStr">
        <is>
          <t>—</t>
        </is>
      </c>
    </row>
    <row r="28">
      <c r="A28" s="4" t="inlineStr">
        <is>
          <t>ETO-COEP 00114/2026</t>
        </is>
      </c>
      <c r="B28" s="5" t="inlineStr">
        <is>
          <t>7913662076</t>
        </is>
      </c>
      <c r="C28" s="5" t="inlineStr">
        <is>
          <t>RELIGADOR</t>
        </is>
      </c>
      <c r="D28" s="5" t="n">
        <v>13.8</v>
      </c>
      <c r="E28" s="5" t="inlineStr">
        <is>
          <t>NOJA RC10</t>
        </is>
      </c>
      <c r="F28" s="5" t="inlineStr">
        <is>
          <t>—</t>
        </is>
      </c>
      <c r="G28" s="6" t="inlineStr">
        <is>
          <t>PARTE ATIVA (TANQUE) + CHAVE FACA</t>
        </is>
      </c>
      <c r="H28" s="6" t="inlineStr">
        <is>
          <t>DMSL: 'confirmado... defeito do tanque, favor seguir com a substituição e correção da chave de entrada fase B'</t>
        </is>
      </c>
      <c r="I28" s="6" t="inlineStr">
        <is>
          <t>Parte ativa 13,8 + Chave secc faca (fase B)</t>
        </is>
      </c>
      <c r="J28" s="4" t="inlineStr">
        <is>
          <t>690001 + 90556</t>
        </is>
      </c>
      <c r="K28" s="7" t="n">
        <v>22522.15</v>
      </c>
      <c r="L28" s="7" t="n">
        <v>11016.94</v>
      </c>
      <c r="M28" s="8" t="n">
        <v>33539.09</v>
      </c>
      <c r="N28" s="9" t="inlineStr">
        <is>
          <t>OK</t>
        </is>
      </c>
      <c r="O28" s="6" t="inlineStr">
        <is>
          <t>Premissa da chave é 36,2kV — validar item equivalente 13,8kV</t>
        </is>
      </c>
    </row>
    <row r="29">
      <c r="A29" s="4" t="inlineStr">
        <is>
          <t>ETO-COEP 00086/2026</t>
        </is>
      </c>
      <c r="B29" s="5" t="inlineStr">
        <is>
          <t>7908686014</t>
        </is>
      </c>
      <c r="C29" s="5" t="inlineStr">
        <is>
          <t>RELIGADOR</t>
        </is>
      </c>
      <c r="D29" s="5" t="n">
        <v>34.5</v>
      </c>
      <c r="E29" s="5" t="inlineStr">
        <is>
          <t>NOJA RC10</t>
        </is>
      </c>
      <c r="F29" s="5" t="inlineStr">
        <is>
          <t>—</t>
        </is>
      </c>
      <c r="G29" s="6" t="inlineStr">
        <is>
          <t>PARTE ATIVA (TANQUE)</t>
        </is>
      </c>
      <c r="H29" s="6" t="inlineStr">
        <is>
          <t>DMSL: 'Favor substituir o tanque... Não substituir o controle pois o mesmo funciona como repetidor'</t>
        </is>
      </c>
      <c r="I29" s="6" t="inlineStr">
        <is>
          <t>Parte ativa 34,5</t>
        </is>
      </c>
      <c r="J29" s="4" t="inlineStr">
        <is>
          <t>690005</t>
        </is>
      </c>
      <c r="K29" s="7" t="n">
        <v>38151.48</v>
      </c>
      <c r="L29" s="7" t="n">
        <v>13209.34</v>
      </c>
      <c r="M29" s="8" t="n">
        <v>51360.82000000001</v>
      </c>
      <c r="N29" s="9" t="inlineStr">
        <is>
          <t>OK</t>
        </is>
      </c>
      <c r="O29" s="6" t="inlineStr">
        <is>
          <t>—</t>
        </is>
      </c>
    </row>
    <row r="30">
      <c r="A30" s="4" t="inlineStr">
        <is>
          <t>ETO-COEP 00038/2026</t>
        </is>
      </c>
      <c r="B30" s="5" t="inlineStr">
        <is>
          <t>7908249152</t>
        </is>
      </c>
      <c r="C30" s="5" t="inlineStr">
        <is>
          <t>RELIGADOR</t>
        </is>
      </c>
      <c r="D30" s="5" t="n">
        <v>34.5</v>
      </c>
      <c r="E30" s="5" t="inlineStr">
        <is>
          <t>COOPER F6</t>
        </is>
      </c>
      <c r="F30" s="5" t="inlineStr">
        <is>
          <t>—</t>
        </is>
      </c>
      <c r="G30" s="6" t="inlineStr">
        <is>
          <t>EQUIPAMENTO COMPLETO</t>
        </is>
      </c>
      <c r="H30" s="6" t="inlineStr">
        <is>
          <t>DMSL: 'curto... danificando a parte ativa... substituição do equipamento completo (parte ativa e controle)'</t>
        </is>
      </c>
      <c r="I30" s="6" t="inlineStr">
        <is>
          <t>Equipamento completo 34,5</t>
        </is>
      </c>
      <c r="J30" s="4" t="inlineStr">
        <is>
          <t>690005+692263</t>
        </is>
      </c>
      <c r="K30" s="7" t="n">
        <v>76246.2</v>
      </c>
      <c r="L30" s="7" t="n">
        <v>13209.34</v>
      </c>
      <c r="M30" s="8" t="n">
        <v>89455.53999999999</v>
      </c>
      <c r="N30" s="9" t="inlineStr">
        <is>
          <t>OK</t>
        </is>
      </c>
      <c r="O30" s="6" t="inlineStr">
        <is>
          <t>Rádio e relé foram retirados e serão reaproveitados; cabo PP sem premissa</t>
        </is>
      </c>
    </row>
    <row r="31">
      <c r="A31" s="4" t="inlineStr">
        <is>
          <t>ETO-COEP 00122/2026</t>
        </is>
      </c>
      <c r="B31" s="5" t="inlineStr">
        <is>
          <t>7908196047</t>
        </is>
      </c>
      <c r="C31" s="5" t="inlineStr">
        <is>
          <t>RELIGADOR</t>
        </is>
      </c>
      <c r="D31" s="5" t="n">
        <v>13.8</v>
      </c>
      <c r="E31" s="5" t="inlineStr">
        <is>
          <t>COOPER F6</t>
        </is>
      </c>
      <c r="F31" s="5" t="inlineStr">
        <is>
          <t>—</t>
        </is>
      </c>
      <c r="G31" s="6" t="inlineStr">
        <is>
          <t>EQUIPAMENTO COMPLETO</t>
        </is>
      </c>
      <c r="H31" s="6" t="inlineStr">
        <is>
          <t>DMSL: 'curto-circuito no tanque... substituição completa do religador, incluindo tanque e unidade de controle'</t>
        </is>
      </c>
      <c r="I31" s="6" t="inlineStr">
        <is>
          <t>Equipamento completo 13,8</t>
        </is>
      </c>
      <c r="J31" s="4" t="inlineStr">
        <is>
          <t>690001+690916</t>
        </is>
      </c>
      <c r="K31" s="7" t="n">
        <v>55602.54</v>
      </c>
      <c r="L31" s="7" t="n">
        <v>11016.94</v>
      </c>
      <c r="M31" s="8" t="n">
        <v>66619.48</v>
      </c>
      <c r="N31" s="9" t="inlineStr">
        <is>
          <t>OK</t>
        </is>
      </c>
      <c r="O31" s="6" t="inlineStr">
        <is>
          <t>—</t>
        </is>
      </c>
    </row>
    <row r="32">
      <c r="A32" s="4" t="inlineStr">
        <is>
          <t>ETO-COEP 00184/2025</t>
        </is>
      </c>
      <c r="B32" s="5" t="inlineStr">
        <is>
          <t>7903112004</t>
        </is>
      </c>
      <c r="C32" s="5" t="inlineStr">
        <is>
          <t>RELIGADOR</t>
        </is>
      </c>
      <c r="D32" s="5" t="n">
        <v>34.5</v>
      </c>
      <c r="E32" s="5" t="inlineStr">
        <is>
          <t>COOPER F6</t>
        </is>
      </c>
      <c r="F32" s="5" t="inlineStr">
        <is>
          <t>—</t>
        </is>
      </c>
      <c r="G32" s="6" t="inlineStr">
        <is>
          <t>EQUIPAMENTO COMPLETO</t>
        </is>
      </c>
      <c r="H32" s="6" t="inlineStr">
        <is>
          <t>'modelo COOPER FORM6... obsoleto e não possuímos peças sobressalentes... substituição completa por modelo NOJA RC10'</t>
        </is>
      </c>
      <c r="I32" s="6" t="inlineStr">
        <is>
          <t>Equipamento completo 34,5</t>
        </is>
      </c>
      <c r="J32" s="4" t="inlineStr">
        <is>
          <t>690005+692263</t>
        </is>
      </c>
      <c r="K32" s="7" t="n">
        <v>76246.2</v>
      </c>
      <c r="L32" s="7" t="n">
        <v>13209.34</v>
      </c>
      <c r="M32" s="8" t="n">
        <v>89455.53999999999</v>
      </c>
      <c r="N32" s="9" t="inlineStr">
        <is>
          <t>OK</t>
        </is>
      </c>
      <c r="O32" s="6" t="inlineStr">
        <is>
          <t>—</t>
        </is>
      </c>
    </row>
    <row r="33">
      <c r="A33" s="4" t="inlineStr">
        <is>
          <t>ETO-COEP 00061/2026</t>
        </is>
      </c>
      <c r="B33" s="5" t="inlineStr">
        <is>
          <t>7901110084</t>
        </is>
      </c>
      <c r="C33" s="5" t="inlineStr">
        <is>
          <t>RELIGADOR</t>
        </is>
      </c>
      <c r="D33" s="5" t="n">
        <v>34.5</v>
      </c>
      <c r="E33" s="5" t="inlineStr">
        <is>
          <t>NOJA RC10</t>
        </is>
      </c>
      <c r="F33" s="5" t="inlineStr">
        <is>
          <t>—</t>
        </is>
      </c>
      <c r="G33" s="6" t="inlineStr">
        <is>
          <t>PARTE ATIVA (TANQUE)</t>
        </is>
      </c>
      <c r="H33" s="6" t="inlineStr">
        <is>
          <t>DMSL: 'a parte ativa do equipamento está com defeito. Necessário substituir a parte ativa'</t>
        </is>
      </c>
      <c r="I33" s="6" t="inlineStr">
        <is>
          <t>Parte ativa 34,5</t>
        </is>
      </c>
      <c r="J33" s="4" t="inlineStr">
        <is>
          <t>690005</t>
        </is>
      </c>
      <c r="K33" s="7" t="n">
        <v>38151.48</v>
      </c>
      <c r="L33" s="7" t="n">
        <v>13209.34</v>
      </c>
      <c r="M33" s="8" t="n">
        <v>51360.82000000001</v>
      </c>
      <c r="N33" s="9" t="inlineStr">
        <is>
          <t>OK</t>
        </is>
      </c>
      <c r="O33" s="6" t="inlineStr">
        <is>
          <t>Levar fonte (foi removida) — sem premissa</t>
        </is>
      </c>
    </row>
    <row r="34">
      <c r="A34" s="4" t="inlineStr">
        <is>
          <t>ETO-COEP 00113/2026</t>
        </is>
      </c>
      <c r="B34" s="5" t="inlineStr">
        <is>
          <t>7900594026</t>
        </is>
      </c>
      <c r="C34" s="5" t="inlineStr">
        <is>
          <t>RELIGADOR</t>
        </is>
      </c>
      <c r="D34" s="5" t="n">
        <v>34.5</v>
      </c>
      <c r="E34" s="5" t="inlineStr">
        <is>
          <t>COOPER F6</t>
        </is>
      </c>
      <c r="F34" s="5" t="inlineStr">
        <is>
          <t>—</t>
        </is>
      </c>
      <c r="G34" s="6" t="inlineStr">
        <is>
          <t>EQUIPAMENTO COMPLETO</t>
        </is>
      </c>
      <c r="H34" s="6" t="inlineStr">
        <is>
          <t>DMSL: 'nota aberta para esse equipamento solicitando a substituição desde 20/10/2025'</t>
        </is>
      </c>
      <c r="I34" s="6" t="inlineStr">
        <is>
          <t>Equipamento completo 34,5</t>
        </is>
      </c>
      <c r="J34" s="4" t="inlineStr">
        <is>
          <t>690005+692263</t>
        </is>
      </c>
      <c r="K34" s="7" t="n">
        <v>76246.2</v>
      </c>
      <c r="L34" s="7" t="n">
        <v>13209.34</v>
      </c>
      <c r="M34" s="8" t="n">
        <v>89455.53999999999</v>
      </c>
      <c r="N34" s="10" t="inlineStr">
        <is>
          <t>VERIFICAR</t>
        </is>
      </c>
      <c r="O34" s="6" t="inlineStr">
        <is>
          <t>SS não especifica a peça — assumido completo por ser Cooper com defeito recorrente</t>
        </is>
      </c>
    </row>
    <row r="35">
      <c r="A35" s="4" t="inlineStr">
        <is>
          <t>ETO-COEP 00080/2026</t>
        </is>
      </c>
      <c r="B35" s="5" t="inlineStr">
        <is>
          <t>7900573047</t>
        </is>
      </c>
      <c r="C35" s="5" t="inlineStr">
        <is>
          <t>RELIGADOR</t>
        </is>
      </c>
      <c r="D35" s="5" t="n">
        <v>13.8</v>
      </c>
      <c r="E35" s="5" t="inlineStr">
        <is>
          <t>COOPER F6</t>
        </is>
      </c>
      <c r="F35" s="5" t="inlineStr">
        <is>
          <t>—</t>
        </is>
      </c>
      <c r="G35" s="6" t="inlineStr">
        <is>
          <t>EQUIPAMENTO COMPLETO</t>
        </is>
      </c>
      <c r="H35" s="6" t="inlineStr">
        <is>
          <t>DMSL: 'queimado na parte ativa placa, tanque e relé. Por favor fazer a substituição pelo Noja RC10'</t>
        </is>
      </c>
      <c r="I35" s="6" t="inlineStr">
        <is>
          <t>Equipamento completo 13,8</t>
        </is>
      </c>
      <c r="J35" s="4" t="inlineStr">
        <is>
          <t>690001+690916</t>
        </is>
      </c>
      <c r="K35" s="7" t="n">
        <v>55602.54</v>
      </c>
      <c r="L35" s="7" t="n">
        <v>11016.94</v>
      </c>
      <c r="M35" s="8" t="n">
        <v>66619.48</v>
      </c>
      <c r="N35" s="9" t="inlineStr">
        <is>
          <t>OK</t>
        </is>
      </c>
      <c r="O35" s="6" t="inlineStr">
        <is>
          <t>Placa+tanque+relé =&gt; completo (placa tratada como controle)</t>
        </is>
      </c>
    </row>
    <row r="36">
      <c r="A36" s="4" t="inlineStr">
        <is>
          <t>ETO-COEP 00173/2025</t>
        </is>
      </c>
      <c r="B36" s="5" t="inlineStr">
        <is>
          <t>7900535058</t>
        </is>
      </c>
      <c r="C36" s="5" t="inlineStr">
        <is>
          <t>RELIGADOR</t>
        </is>
      </c>
      <c r="D36" s="5" t="n">
        <v>34.5</v>
      </c>
      <c r="E36" s="5" t="inlineStr">
        <is>
          <t>COOPER F6</t>
        </is>
      </c>
      <c r="F36" s="5" t="inlineStr">
        <is>
          <t>—</t>
        </is>
      </c>
      <c r="G36" s="6" t="inlineStr">
        <is>
          <t>EQUIPAMENTO COMPLETO</t>
        </is>
      </c>
      <c r="H36" s="6" t="inlineStr">
        <is>
          <t>DMSL: 'relé danificado, firmware corrompido... não possuirmos mais peças de reposição para religador cooper... substituição de todo conjunto por um Noja RC10'</t>
        </is>
      </c>
      <c r="I36" s="6" t="inlineStr">
        <is>
          <t>Equipamento completo 34,5</t>
        </is>
      </c>
      <c r="J36" s="4" t="inlineStr">
        <is>
          <t>690005+692263</t>
        </is>
      </c>
      <c r="K36" s="7" t="n">
        <v>76246.2</v>
      </c>
      <c r="L36" s="7" t="n">
        <v>13209.34</v>
      </c>
      <c r="M36" s="8" t="n">
        <v>89455.53999999999</v>
      </c>
      <c r="N36" s="9" t="inlineStr">
        <is>
          <t>OK</t>
        </is>
      </c>
      <c r="O36" s="6" t="inlineStr">
        <is>
          <t>—</t>
        </is>
      </c>
    </row>
    <row r="37">
      <c r="A37" s="4" t="inlineStr">
        <is>
          <t>ETO-COEP 00102/2025</t>
        </is>
      </c>
      <c r="B37" s="5" t="inlineStr">
        <is>
          <t>7900532053</t>
        </is>
      </c>
      <c r="C37" s="5" t="inlineStr">
        <is>
          <t>RELIGADOR</t>
        </is>
      </c>
      <c r="D37" s="5" t="n">
        <v>34.5</v>
      </c>
      <c r="E37" s="5" t="inlineStr">
        <is>
          <t>(SEM CADASTRO NOS AJUSTES)</t>
        </is>
      </c>
      <c r="F37" s="5" t="inlineStr">
        <is>
          <t>—</t>
        </is>
      </c>
      <c r="G37" s="6" t="inlineStr">
        <is>
          <t>EQUIPAMENTO COMPLETO + RÁDIO</t>
        </is>
      </c>
      <c r="H37" s="6" t="inlineStr">
        <is>
          <t>'realizar substituição completa do RLG... O rádio também precisa ser fornecido pois o existente está danificado'</t>
        </is>
      </c>
      <c r="I37" s="6" t="inlineStr">
        <is>
          <t>Equipamento completo 34,5 + Bateria lítio + Rádio GE Orbit</t>
        </is>
      </c>
      <c r="J37" s="4" t="inlineStr">
        <is>
          <t>690005+692263 + 647867+64939</t>
        </is>
      </c>
      <c r="K37" s="7" t="n">
        <v>90858.28</v>
      </c>
      <c r="L37" s="7" t="n">
        <v>13209.34</v>
      </c>
      <c r="M37" s="8" t="n">
        <v>104067.62</v>
      </c>
      <c r="N37" s="10" t="inlineStr">
        <is>
          <t>VERIFICAR</t>
        </is>
      </c>
      <c r="O37" s="6" t="inlineStr">
        <is>
          <t>Tensão obtida na ETO 30 (não consta nas bases de ajustes); aguardando resposta do DMSL</t>
        </is>
      </c>
    </row>
    <row r="38">
      <c r="A38" s="4" t="inlineStr">
        <is>
          <t>ETO-COEP 00125/2026</t>
        </is>
      </c>
      <c r="B38" s="5" t="inlineStr">
        <is>
          <t>7900525015</t>
        </is>
      </c>
      <c r="C38" s="5" t="inlineStr">
        <is>
          <t>RELIGADOR</t>
        </is>
      </c>
      <c r="D38" s="5" t="n">
        <v>34.5</v>
      </c>
      <c r="E38" s="5" t="inlineStr">
        <is>
          <t>COOPER F6</t>
        </is>
      </c>
      <c r="F38" s="5" t="inlineStr">
        <is>
          <t>—</t>
        </is>
      </c>
      <c r="G38" s="6" t="inlineStr">
        <is>
          <t>BUCHAS (AGUARDANDO DEFINIÇÃO)</t>
        </is>
      </c>
      <c r="H38" s="6" t="inlineStr">
        <is>
          <t>COEP: 'caso seja buchas, repassar para os COCM´s, caso não seja especifique o modelo e a tensão'</t>
        </is>
      </c>
      <c r="I38" s="6" t="inlineStr">
        <is>
          <t>—</t>
        </is>
      </c>
      <c r="J38" s="4" t="inlineStr">
        <is>
          <t>—</t>
        </is>
      </c>
      <c r="K38" s="7" t="n">
        <v>0</v>
      </c>
      <c r="L38" s="7" t="n">
        <v>0</v>
      </c>
      <c r="M38" s="8" t="n">
        <v>0</v>
      </c>
      <c r="N38" s="10" t="inlineStr">
        <is>
          <t>VERIFICAR</t>
        </is>
      </c>
      <c r="O38" s="6" t="inlineStr">
        <is>
          <t>Sem compra COEP enquanto não confirmar se é só bucha (escopo COCM)</t>
        </is>
      </c>
    </row>
    <row r="39">
      <c r="A39" s="4" t="inlineStr">
        <is>
          <t>ETO-COEP 00087/2026</t>
        </is>
      </c>
      <c r="B39" s="5" t="inlineStr">
        <is>
          <t>7900453110</t>
        </is>
      </c>
      <c r="C39" s="5" t="inlineStr">
        <is>
          <t>RELIGADOR</t>
        </is>
      </c>
      <c r="D39" s="5" t="n">
        <v>34.5</v>
      </c>
      <c r="E39" s="5" t="inlineStr">
        <is>
          <t>COOPER F6</t>
        </is>
      </c>
      <c r="F39" s="5" t="inlineStr">
        <is>
          <t>—</t>
        </is>
      </c>
      <c r="G39" s="6" t="inlineStr">
        <is>
          <t>EQUIPAMENTO COMPLETO</t>
        </is>
      </c>
      <c r="H39" s="6" t="inlineStr">
        <is>
          <t>DMSL: 'defeito na parte ativa, não aceita o comando de fechamento. Será necessário substituir o equipamento completo'</t>
        </is>
      </c>
      <c r="I39" s="6" t="inlineStr">
        <is>
          <t>Equipamento completo 34,5</t>
        </is>
      </c>
      <c r="J39" s="4" t="inlineStr">
        <is>
          <t>690005+692263</t>
        </is>
      </c>
      <c r="K39" s="7" t="n">
        <v>76246.2</v>
      </c>
      <c r="L39" s="7" t="n">
        <v>13209.34</v>
      </c>
      <c r="M39" s="8" t="n">
        <v>89455.53999999999</v>
      </c>
      <c r="N39" s="10" t="inlineStr">
        <is>
          <t>VERIFICAR</t>
        </is>
      </c>
      <c r="O39" s="6" t="inlineStr">
        <is>
          <t>COEP remanejou a parte ativa p/ 7933726256 e estuda reaproveitar o controle Cooper — custo pode cair p/ parte ativa</t>
        </is>
      </c>
    </row>
    <row r="40">
      <c r="A40" s="4" t="inlineStr">
        <is>
          <t>ETO-COEP 00084/2026</t>
        </is>
      </c>
      <c r="B40" s="5" t="inlineStr">
        <is>
          <t>7900117013</t>
        </is>
      </c>
      <c r="C40" s="5" t="inlineStr">
        <is>
          <t>RELIGADOR</t>
        </is>
      </c>
      <c r="D40" s="5" t="n">
        <v>13.8</v>
      </c>
      <c r="E40" s="5" t="inlineStr">
        <is>
          <t>COOPER F6</t>
        </is>
      </c>
      <c r="F40" s="5" t="inlineStr">
        <is>
          <t>—</t>
        </is>
      </c>
      <c r="G40" s="6" t="inlineStr">
        <is>
          <t>EQUIPAMENTO COMPLETO</t>
        </is>
      </c>
      <c r="H40" s="6" t="inlineStr">
        <is>
          <t>'relé parou de funcionar devido atualização... modelo é Cooper Form6, deve ser substituído por um Noja'</t>
        </is>
      </c>
      <c r="I40" s="6" t="inlineStr">
        <is>
          <t>Equipamento completo 13,8</t>
        </is>
      </c>
      <c r="J40" s="4" t="inlineStr">
        <is>
          <t>690001+690916</t>
        </is>
      </c>
      <c r="K40" s="7" t="n">
        <v>55602.54</v>
      </c>
      <c r="L40" s="7" t="n">
        <v>11016.94</v>
      </c>
      <c r="M40" s="8" t="n">
        <v>66619.48</v>
      </c>
      <c r="N40" s="9" t="inlineStr">
        <is>
          <t>OK</t>
        </is>
      </c>
      <c r="O40" s="6" t="inlineStr">
        <is>
          <t>—</t>
        </is>
      </c>
    </row>
    <row r="41">
      <c r="A41" s="4" t="inlineStr">
        <is>
          <t>ETO-COEP 00223/2025</t>
        </is>
      </c>
      <c r="B41" s="5" t="inlineStr">
        <is>
          <t>5862236091</t>
        </is>
      </c>
      <c r="C41" s="5" t="inlineStr">
        <is>
          <t>REGULADOR</t>
        </is>
      </c>
      <c r="D41" s="5" t="n">
        <v>34.5</v>
      </c>
      <c r="E41" s="5" t="inlineStr">
        <is>
          <t>—</t>
        </is>
      </c>
      <c r="F41" s="5" t="inlineStr">
        <is>
          <t>—</t>
        </is>
      </c>
      <c r="G41" s="6" t="inlineStr">
        <is>
          <t>1 CÉLULA (FASE B)</t>
        </is>
      </c>
      <c r="H41" s="6" t="inlineStr">
        <is>
          <t>'Realizar substituição da FASE B. Célula... pegou chuva e molhou os contatos danificando a peça toda'</t>
        </is>
      </c>
      <c r="I41" s="6" t="inlineStr">
        <is>
          <t>Célula RT 34,5 (potência a confirmar — assumido 200kVA)</t>
        </is>
      </c>
      <c r="J41" s="4" t="inlineStr">
        <is>
          <t>690240</t>
        </is>
      </c>
      <c r="K41" s="7" t="n">
        <v>51705.75</v>
      </c>
      <c r="L41" s="7" t="n">
        <v>80318.5</v>
      </c>
      <c r="M41" s="8" t="n">
        <v>132024.25</v>
      </c>
      <c r="N41" s="10" t="inlineStr">
        <is>
          <t>VERIFICAR</t>
        </is>
      </c>
      <c r="O41" s="6" t="inlineStr">
        <is>
          <t>Potência não consta nas bases — confirmar 200 ou 400kVA</t>
        </is>
      </c>
    </row>
    <row r="42">
      <c r="A42" s="4" t="inlineStr">
        <is>
          <t>ETO-COEP 00123/2025</t>
        </is>
      </c>
      <c r="B42" s="5" t="inlineStr">
        <is>
          <t>5858783119</t>
        </is>
      </c>
      <c r="C42" s="5" t="inlineStr">
        <is>
          <t>REGULADOR</t>
        </is>
      </c>
      <c r="D42" s="5" t="n">
        <v>34.5</v>
      </c>
      <c r="E42" s="5" t="inlineStr">
        <is>
          <t>—</t>
        </is>
      </c>
      <c r="F42" s="5" t="n">
        <v>400</v>
      </c>
      <c r="G42" s="6" t="inlineStr">
        <is>
          <t>3 CÉLULAS (BANCO COMPLETO)</t>
        </is>
      </c>
      <c r="H42" s="6" t="inlineStr">
        <is>
          <t>DMSL: 'furtado todo o óleo isolante das 3 células, sendo necessário a substituição das 3 células'</t>
        </is>
      </c>
      <c r="I42" s="6" t="inlineStr">
        <is>
          <t>3x Célula RT 34,5/400kVA</t>
        </is>
      </c>
      <c r="J42" s="4" t="inlineStr">
        <is>
          <t>3x 690241</t>
        </is>
      </c>
      <c r="K42" s="7" t="n">
        <v>270690</v>
      </c>
      <c r="L42" s="7" t="n">
        <v>80318.5</v>
      </c>
      <c r="M42" s="8" t="n">
        <v>351008.5</v>
      </c>
      <c r="N42" s="9" t="inlineStr">
        <is>
          <t>OK</t>
        </is>
      </c>
      <c r="O42" s="6" t="inlineStr">
        <is>
          <t>Potência 400kVA conforme ETO 30</t>
        </is>
      </c>
    </row>
    <row r="43">
      <c r="A43" s="4" t="inlineStr">
        <is>
          <t>ETO-COEP 00130/2026</t>
        </is>
      </c>
      <c r="B43" s="5" t="inlineStr">
        <is>
          <t>5856070091</t>
        </is>
      </c>
      <c r="C43" s="5" t="inlineStr">
        <is>
          <t>REGULADOR</t>
        </is>
      </c>
      <c r="D43" s="5" t="n">
        <v>34.5</v>
      </c>
      <c r="E43" s="5" t="inlineStr">
        <is>
          <t>—</t>
        </is>
      </c>
      <c r="F43" s="5" t="n">
        <v>400</v>
      </c>
      <c r="G43" s="6" t="inlineStr">
        <is>
          <t>3 CÉLULAS (FURTADAS)</t>
        </is>
      </c>
      <c r="H43" s="6" t="inlineStr">
        <is>
          <t>'reposição de equipamentos furtados' — ETO 30: '3 células furtadas'</t>
        </is>
      </c>
      <c r="I43" s="6" t="inlineStr">
        <is>
          <t>3x Célula RT 34,5/400kVA</t>
        </is>
      </c>
      <c r="J43" s="4" t="inlineStr">
        <is>
          <t>3x 690241</t>
        </is>
      </c>
      <c r="K43" s="7" t="n">
        <v>270690</v>
      </c>
      <c r="L43" s="7" t="n">
        <v>80318.5</v>
      </c>
      <c r="M43" s="8" t="n">
        <v>351008.5</v>
      </c>
      <c r="N43" s="9" t="inlineStr">
        <is>
          <t>OK</t>
        </is>
      </c>
      <c r="O43" s="6" t="inlineStr">
        <is>
          <t>Total bate com a ETO 30 (R$ 351.008,50)</t>
        </is>
      </c>
    </row>
    <row r="44">
      <c r="A44" s="4" t="inlineStr">
        <is>
          <t>ETO-COEP 00199/2025</t>
        </is>
      </c>
      <c r="B44" s="5" t="inlineStr">
        <is>
          <t>5855411017</t>
        </is>
      </c>
      <c r="C44" s="5" t="inlineStr">
        <is>
          <t>REGULADOR</t>
        </is>
      </c>
      <c r="D44" s="5" t="n">
        <v>13.8</v>
      </c>
      <c r="E44" s="5" t="inlineStr">
        <is>
          <t>—</t>
        </is>
      </c>
      <c r="F44" s="5" t="n">
        <v>250</v>
      </c>
      <c r="G44" s="6" t="inlineStr">
        <is>
          <t>CONTROLE COMPLETO</t>
        </is>
      </c>
      <c r="H44" s="6" t="inlineStr">
        <is>
          <t>DMSL: 'Equipamento ficou Bay passado levar controle COMPLETO para trocar'</t>
        </is>
      </c>
      <c r="I44" s="6" t="inlineStr">
        <is>
          <t>Controle regulador (relé sincr. 616033)</t>
        </is>
      </c>
      <c r="J44" s="4" t="inlineStr">
        <is>
          <t>616033</t>
        </is>
      </c>
      <c r="K44" s="7" t="n">
        <v>23259.6</v>
      </c>
      <c r="L44" s="7" t="n">
        <v>0</v>
      </c>
      <c r="M44" s="8" t="n">
        <v>23259.6</v>
      </c>
      <c r="N44" s="9" t="inlineStr">
        <is>
          <t>OK</t>
        </is>
      </c>
      <c r="O44" s="6" t="inlineStr">
        <is>
          <t>Só controle: ETO 30 registra Custo MO = 0 para este serviço</t>
        </is>
      </c>
    </row>
    <row r="45">
      <c r="A45" s="4" t="inlineStr">
        <is>
          <t>ETO-COEP 00160/2025</t>
        </is>
      </c>
      <c r="B45" s="5" t="inlineStr">
        <is>
          <t>5854566043</t>
        </is>
      </c>
      <c r="C45" s="5" t="inlineStr">
        <is>
          <t>REGULADOR</t>
        </is>
      </c>
      <c r="D45" s="5" t="n">
        <v>34.5</v>
      </c>
      <c r="E45" s="5" t="inlineStr">
        <is>
          <t>—</t>
        </is>
      </c>
      <c r="F45" s="5" t="n">
        <v>400</v>
      </c>
      <c r="G45" s="6" t="inlineStr">
        <is>
          <t>1 CÉLULA (FASE B)</t>
        </is>
      </c>
      <c r="H45" s="6" t="inlineStr">
        <is>
          <t>DMSL: 'A fase B está danificada e será necessário substituir a mesma. Fase A e C passaram nos ensaios'</t>
        </is>
      </c>
      <c r="I45" s="6" t="inlineStr">
        <is>
          <t>Célula RT 34,5/400kVA</t>
        </is>
      </c>
      <c r="J45" s="4" t="inlineStr">
        <is>
          <t>690241</t>
        </is>
      </c>
      <c r="K45" s="7" t="n">
        <v>90230</v>
      </c>
      <c r="L45" s="7" t="n">
        <v>80318.5</v>
      </c>
      <c r="M45" s="8" t="n">
        <v>170548.5</v>
      </c>
      <c r="N45" s="10" t="inlineStr">
        <is>
          <t>VERIFICAR</t>
        </is>
      </c>
      <c r="O45" s="6" t="inlineStr">
        <is>
          <t>Solicitante citou fase C e DMSL fase B — confirmar a fase antes da compra</t>
        </is>
      </c>
    </row>
    <row r="46">
      <c r="A46" s="4" t="inlineStr">
        <is>
          <t>ETO-COEP 00127/2026</t>
        </is>
      </c>
      <c r="B46" s="5" t="inlineStr">
        <is>
          <t>5850308009</t>
        </is>
      </c>
      <c r="C46" s="5" t="inlineStr">
        <is>
          <t>REGULADOR</t>
        </is>
      </c>
      <c r="D46" s="5" t="n">
        <v>13.8</v>
      </c>
      <c r="E46" s="5" t="inlineStr">
        <is>
          <t>—</t>
        </is>
      </c>
      <c r="F46" s="5" t="n">
        <v>239</v>
      </c>
      <c r="G46" s="6" t="inlineStr">
        <is>
          <t>CONTROLE</t>
        </is>
      </c>
      <c r="H46" s="6" t="inlineStr">
        <is>
          <t>DMSL: 'encontra-se com controle danificado, sendo necessária substituição do mesmo'</t>
        </is>
      </c>
      <c r="I46" s="6" t="inlineStr">
        <is>
          <t>Controle regulador (relé sincr. 616033)</t>
        </is>
      </c>
      <c r="J46" s="4" t="inlineStr">
        <is>
          <t>616033</t>
        </is>
      </c>
      <c r="K46" s="7" t="n">
        <v>23259.6</v>
      </c>
      <c r="L46" s="7" t="n">
        <v>0</v>
      </c>
      <c r="M46" s="8" t="n">
        <v>23259.6</v>
      </c>
      <c r="N46" s="9" t="inlineStr">
        <is>
          <t>OK</t>
        </is>
      </c>
      <c r="O46" s="6" t="inlineStr">
        <is>
          <t>Só controle: ETO 30 registra Custo MO = 0</t>
        </is>
      </c>
    </row>
    <row r="47">
      <c r="A47" s="4" t="inlineStr">
        <is>
          <t>ETO-COEP 00167/2025</t>
        </is>
      </c>
      <c r="B47" s="5" t="inlineStr">
        <is>
          <t>5844630060</t>
        </is>
      </c>
      <c r="C47" s="5" t="inlineStr">
        <is>
          <t>REGULADOR</t>
        </is>
      </c>
      <c r="D47" s="5" t="n">
        <v>13.8</v>
      </c>
      <c r="E47" s="5" t="inlineStr">
        <is>
          <t>—</t>
        </is>
      </c>
      <c r="F47" s="5" t="n">
        <v>239</v>
      </c>
      <c r="G47" s="6" t="inlineStr">
        <is>
          <t>1 CÉLULA (FASE A)</t>
        </is>
      </c>
      <c r="H47" s="6" t="inlineStr">
        <is>
          <t>DMSL: 'Célula da fase A encontra-se com vazamento de óleo no pé da torneira. Necessário substituição da célula'</t>
        </is>
      </c>
      <c r="I47" s="6" t="inlineStr">
        <is>
          <t>Célula RT 13,8/239kVA</t>
        </is>
      </c>
      <c r="J47" s="4" t="inlineStr">
        <is>
          <t>690236</t>
        </is>
      </c>
      <c r="K47" s="7" t="n">
        <v>62113.2</v>
      </c>
      <c r="L47" s="7" t="n">
        <v>51402.14</v>
      </c>
      <c r="M47" s="8" t="n">
        <v>113515.34</v>
      </c>
      <c r="N47" s="9" t="inlineStr">
        <is>
          <t>OK</t>
        </is>
      </c>
      <c r="O47" s="6" t="inlineStr">
        <is>
          <t>Total bate com a ETO 30 (R$ 113.515,34)</t>
        </is>
      </c>
    </row>
    <row r="48">
      <c r="A48" s="4" t="inlineStr">
        <is>
          <t>ETO-COEP 00095/2026</t>
        </is>
      </c>
      <c r="B48" s="5" t="inlineStr">
        <is>
          <t>5836786094</t>
        </is>
      </c>
      <c r="C48" s="5" t="inlineStr">
        <is>
          <t>REGULADOR</t>
        </is>
      </c>
      <c r="D48" s="5" t="n">
        <v>34.5</v>
      </c>
      <c r="E48" s="5" t="inlineStr">
        <is>
          <t>—</t>
        </is>
      </c>
      <c r="F48" s="5" t="inlineStr">
        <is>
          <t>—</t>
        </is>
      </c>
      <c r="G48" s="6" t="inlineStr">
        <is>
          <t>3 CÉLULAS (BANCO COMPLETO — FURTO)</t>
        </is>
      </c>
      <c r="H48" s="6" t="inlineStr">
        <is>
          <t>'Favor levar outro regulador de tensão, pois o mesmo foi furtado em campo'</t>
        </is>
      </c>
      <c r="I48" s="6" t="inlineStr">
        <is>
          <t>3x Célula RT 34,5 (potência a confirmar — assumido 200kVA)</t>
        </is>
      </c>
      <c r="J48" s="4" t="inlineStr">
        <is>
          <t>3x 690240</t>
        </is>
      </c>
      <c r="K48" s="7" t="n">
        <v>155117.25</v>
      </c>
      <c r="L48" s="7" t="n">
        <v>80318.5</v>
      </c>
      <c r="M48" s="8" t="n">
        <v>235435.75</v>
      </c>
      <c r="N48" s="10" t="inlineStr">
        <is>
          <t>VERIFICAR</t>
        </is>
      </c>
      <c r="O48" s="6" t="inlineStr">
        <is>
          <t>Furto: banco completo = 3 células; potência não consta nas bases</t>
        </is>
      </c>
    </row>
    <row r="49">
      <c r="A49" s="4" t="inlineStr">
        <is>
          <t>ETO-COEP 00077/2026</t>
        </is>
      </c>
      <c r="B49" s="5" t="inlineStr">
        <is>
          <t>5801866013</t>
        </is>
      </c>
      <c r="C49" s="5" t="inlineStr">
        <is>
          <t>REGULADOR</t>
        </is>
      </c>
      <c r="D49" s="5" t="n">
        <v>13.8</v>
      </c>
      <c r="E49" s="5" t="inlineStr">
        <is>
          <t>—</t>
        </is>
      </c>
      <c r="F49" s="5" t="inlineStr">
        <is>
          <t>—</t>
        </is>
      </c>
      <c r="G49" s="6" t="inlineStr">
        <is>
          <t>1 CÉLULA (FASE C)</t>
        </is>
      </c>
      <c r="H49" s="6" t="inlineStr">
        <is>
          <t>DMSL: 'infiltração na caixa de passagem da célula da fase C... será necessário fazer a substituição da mesma'</t>
        </is>
      </c>
      <c r="I49" s="6" t="inlineStr">
        <is>
          <t>Célula RT 13,8 (potência a confirmar — assumido 239kVA)</t>
        </is>
      </c>
      <c r="J49" s="4" t="inlineStr">
        <is>
          <t>690236</t>
        </is>
      </c>
      <c r="K49" s="7" t="n">
        <v>62113.2</v>
      </c>
      <c r="L49" s="7" t="n">
        <v>51402.14</v>
      </c>
      <c r="M49" s="8" t="n">
        <v>113515.34</v>
      </c>
      <c r="N49" s="10" t="inlineStr">
        <is>
          <t>VERIFICAR</t>
        </is>
      </c>
      <c r="O49" s="6" t="inlineStr">
        <is>
          <t>Potência não consta nas bases — confirmar 167 ou 239kVA; baixar o banco ~1m (serviço)</t>
        </is>
      </c>
    </row>
    <row r="50">
      <c r="A50" s="4" t="inlineStr">
        <is>
          <t>ETO-COEP 00221/2025</t>
        </is>
      </c>
      <c r="B50" s="5" t="inlineStr">
        <is>
          <t>5800961074</t>
        </is>
      </c>
      <c r="C50" s="5" t="inlineStr">
        <is>
          <t>REGULADOR</t>
        </is>
      </c>
      <c r="D50" s="5" t="n">
        <v>34.5</v>
      </c>
      <c r="E50" s="5" t="inlineStr">
        <is>
          <t>—</t>
        </is>
      </c>
      <c r="F50" s="5" t="inlineStr">
        <is>
          <t>—</t>
        </is>
      </c>
      <c r="G50" s="6" t="inlineStr">
        <is>
          <t>3 CÉLULAS (BANCO COMPLETO)</t>
        </is>
      </c>
      <c r="H50" s="6" t="inlineStr">
        <is>
          <t>'Substituir as 3 células' + melhorias de aterramento</t>
        </is>
      </c>
      <c r="I50" s="6" t="inlineStr">
        <is>
          <t>3x Célula RT 34,5 (potência a confirmar — assumido 200kVA)</t>
        </is>
      </c>
      <c r="J50" s="4" t="inlineStr">
        <is>
          <t>3x 690240</t>
        </is>
      </c>
      <c r="K50" s="7" t="n">
        <v>155117.25</v>
      </c>
      <c r="L50" s="7" t="n">
        <v>80318.5</v>
      </c>
      <c r="M50" s="8" t="n">
        <v>235435.75</v>
      </c>
      <c r="N50" s="10" t="inlineStr">
        <is>
          <t>VERIFICAR</t>
        </is>
      </c>
      <c r="O50" s="6" t="inlineStr">
        <is>
          <t>Potência não consta nas bases; melhorias de malha/conectores sem premissa</t>
        </is>
      </c>
    </row>
    <row r="51">
      <c r="A51" s="4" t="inlineStr">
        <is>
          <t>ETO-COEP 00115/2026</t>
        </is>
      </c>
      <c r="B51" s="5" t="inlineStr">
        <is>
          <t>5800859011</t>
        </is>
      </c>
      <c r="C51" s="5" t="inlineStr">
        <is>
          <t>REGULADOR</t>
        </is>
      </c>
      <c r="D51" s="5" t="n">
        <v>13.8</v>
      </c>
      <c r="E51" s="5" t="inlineStr">
        <is>
          <t>—</t>
        </is>
      </c>
      <c r="F51" s="5" t="inlineStr">
        <is>
          <t>—</t>
        </is>
      </c>
      <c r="G51" s="6" t="inlineStr">
        <is>
          <t>CONTROLE (RETROFIT RUA)</t>
        </is>
      </c>
      <c r="H51" s="6" t="inlineStr">
        <is>
          <t>DMSL: 'relé da fase C com defeito... necessário realiza retrofit para instalação de controle rua... trocar por um controle RUA'</t>
        </is>
      </c>
      <c r="I51" s="6" t="inlineStr">
        <is>
          <t>Controle regulador (relé sincr. 616033)</t>
        </is>
      </c>
      <c r="J51" s="4" t="inlineStr">
        <is>
          <t>616033</t>
        </is>
      </c>
      <c r="K51" s="7" t="n">
        <v>23259.6</v>
      </c>
      <c r="L51" s="7" t="n">
        <v>0</v>
      </c>
      <c r="M51" s="8" t="n">
        <v>23259.6</v>
      </c>
      <c r="N51" s="9" t="inlineStr">
        <is>
          <t>OK</t>
        </is>
      </c>
      <c r="O51" s="6" t="inlineStr">
        <is>
          <t>Só controle: MO = 0 (padrão ETO 30 p/ controle de RT)</t>
        </is>
      </c>
    </row>
    <row r="52">
      <c r="A52" s="4" t="inlineStr">
        <is>
          <t>ETO-COEP 00187/2025</t>
        </is>
      </c>
      <c r="B52" s="5" t="inlineStr">
        <is>
          <t>5800371025</t>
        </is>
      </c>
      <c r="C52" s="5" t="inlineStr">
        <is>
          <t>REGULADOR</t>
        </is>
      </c>
      <c r="D52" s="5" t="n">
        <v>34.5</v>
      </c>
      <c r="E52" s="5" t="inlineStr">
        <is>
          <t>—</t>
        </is>
      </c>
      <c r="F52" s="5" t="n">
        <v>200</v>
      </c>
      <c r="G52" s="6" t="inlineStr">
        <is>
          <t>CONTROLE RUA + KIT COMUNICAÇÃO</t>
        </is>
      </c>
      <c r="H52" s="6" t="inlineStr">
        <is>
          <t>DMSL: 'defeito nos relés da fase A e B (Toshiba TBR 1000)... substituir os relés das 3 fases por controle RUA... Fornecer kit de comunicação, rádio, antena'</t>
        </is>
      </c>
      <c r="I52" s="6" t="inlineStr">
        <is>
          <t>Controle regulador (relé sincr. 616033) + Bateria lítio + Rádio GE Orbit</t>
        </is>
      </c>
      <c r="J52" s="4" t="inlineStr">
        <is>
          <t>616033 + 647867+64939</t>
        </is>
      </c>
      <c r="K52" s="7" t="n">
        <v>37871.68</v>
      </c>
      <c r="L52" s="7" t="n">
        <v>0</v>
      </c>
      <c r="M52" s="8" t="n">
        <v>37871.68</v>
      </c>
      <c r="N52" s="10" t="inlineStr">
        <is>
          <t>VERIFICAR</t>
        </is>
      </c>
      <c r="O52" s="6" t="inlineStr">
        <is>
          <t>Kit de comunicação valorado pela premissa do rádio GE Orbit — confirmar composição; ETO 30: MO=0 (controle)</t>
        </is>
      </c>
    </row>
    <row r="53">
      <c r="A53" s="4" t="inlineStr">
        <is>
          <t>ETO-COEP 00117/2026</t>
        </is>
      </c>
      <c r="B53" s="5" t="inlineStr">
        <is>
          <t>5800090147</t>
        </is>
      </c>
      <c r="C53" s="5" t="inlineStr">
        <is>
          <t>REGULADOR</t>
        </is>
      </c>
      <c r="D53" s="5" t="n">
        <v>34.5</v>
      </c>
      <c r="E53" s="5" t="inlineStr">
        <is>
          <t>—</t>
        </is>
      </c>
      <c r="F53" s="5" t="inlineStr">
        <is>
          <t>—</t>
        </is>
      </c>
      <c r="G53" s="6" t="inlineStr">
        <is>
          <t>1 CÉLULA (FASE C)</t>
        </is>
      </c>
      <c r="H53" s="6" t="inlineStr">
        <is>
          <t>DMSL: 'substituir a célula da fase C... pois o microswitch que reconhece o neutro está com defeito'</t>
        </is>
      </c>
      <c r="I53" s="6" t="inlineStr">
        <is>
          <t>Célula RT 34,5 (potência a confirmar — assumido 200kVA)</t>
        </is>
      </c>
      <c r="J53" s="4" t="inlineStr">
        <is>
          <t>690240</t>
        </is>
      </c>
      <c r="K53" s="7" t="n">
        <v>51705.75</v>
      </c>
      <c r="L53" s="7" t="n">
        <v>80318.5</v>
      </c>
      <c r="M53" s="8" t="n">
        <v>132024.25</v>
      </c>
      <c r="N53" s="10" t="inlineStr">
        <is>
          <t>VERIFICAR</t>
        </is>
      </c>
      <c r="O53" s="6" t="inlineStr">
        <is>
          <t>Potência não consta nas bases — confirmar 200 ou 400kVA</t>
        </is>
      </c>
    </row>
    <row r="54">
      <c r="J54" s="11" t="inlineStr">
        <is>
          <t>TOTAL GERAL (RL + RT)</t>
        </is>
      </c>
      <c r="K54" s="12">
        <f>SUM(K4:K53)</f>
        <v/>
      </c>
      <c r="L54" s="12">
        <f>SUM(L4:L53)</f>
        <v/>
      </c>
      <c r="M54" s="12">
        <f>SUM(M4:M53)</f>
        <v/>
      </c>
      <c r="N54" s="13" t="n"/>
      <c r="O54" s="13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2" customWidth="1" min="4" max="4"/>
    <col width="26" customWidth="1" min="5" max="5"/>
    <col width="14" customWidth="1" min="6" max="6"/>
    <col width="60" customWidth="1" min="7" max="7"/>
    <col width="12" customWidth="1" min="8" max="8"/>
    <col width="45" customWidth="1" min="9" max="9"/>
  </cols>
  <sheetData>
    <row r="1" ht="24" customHeight="1">
      <c r="A1" s="1" t="inlineStr">
        <is>
          <t>BANCOS DE CAPACITOR (LOCALIZAÇÃO 59) — ABA SEPARADA</t>
        </is>
      </c>
    </row>
    <row r="2">
      <c r="A2" s="2" t="inlineStr">
        <is>
          <t>Tensão preenchida SOMENTE quando escrita na própria SS (sem base de ajustes p/ BC). Sem premissa de preço de célula capacitiva ou de MO para BC — valorar após definição de premissas.</t>
        </is>
      </c>
    </row>
    <row r="3" ht="30" customHeight="1">
      <c r="A3" s="3" t="inlineStr">
        <is>
          <t>SS</t>
        </is>
      </c>
      <c r="B3" s="3" t="inlineStr">
        <is>
          <t>Localização (Ativo)</t>
        </is>
      </c>
      <c r="C3" s="3" t="inlineStr">
        <is>
          <t>Peça a Substituir</t>
        </is>
      </c>
      <c r="D3" s="3" t="inlineStr">
        <is>
          <t>Qtd Células</t>
        </is>
      </c>
      <c r="E3" s="3" t="inlineStr">
        <is>
          <t>Tensão (kV) — só se descrita na SS</t>
        </is>
      </c>
      <c r="F3" s="3" t="inlineStr">
        <is>
          <t>kVAr (se descrito)</t>
        </is>
      </c>
      <c r="G3" s="3" t="inlineStr">
        <is>
          <t>Evidência na descrição da SS</t>
        </is>
      </c>
      <c r="H3" s="3" t="inlineStr">
        <is>
          <t>Confiança</t>
        </is>
      </c>
      <c r="I3" s="3" t="inlineStr">
        <is>
          <t>Observações</t>
        </is>
      </c>
    </row>
    <row r="4">
      <c r="A4" s="4" t="inlineStr">
        <is>
          <t>ETO-COEP 00099/2026</t>
        </is>
      </c>
      <c r="B4" s="5" t="inlineStr">
        <is>
          <t>5961616059</t>
        </is>
      </c>
      <c r="C4" s="6" t="inlineStr">
        <is>
          <t>CÉLULA FASE A</t>
        </is>
      </c>
      <c r="D4" s="5" t="n">
        <v>1</v>
      </c>
      <c r="E4" s="5" t="inlineStr">
        <is>
          <t>NÃO DESCRITA NA SS</t>
        </is>
      </c>
      <c r="F4" s="5" t="inlineStr">
        <is>
          <t>—</t>
        </is>
      </c>
      <c r="G4" s="6" t="inlineStr">
        <is>
          <t>'Realizar substituição da celula fase A queimada'</t>
        </is>
      </c>
      <c r="H4" s="9" t="inlineStr">
        <is>
          <t>OK</t>
        </is>
      </c>
      <c r="I4" s="6" t="inlineStr">
        <is>
          <t>—</t>
        </is>
      </c>
    </row>
    <row r="5">
      <c r="A5" s="4" t="inlineStr">
        <is>
          <t>ETO-COEP 00094/2026</t>
        </is>
      </c>
      <c r="B5" s="5" t="inlineStr">
        <is>
          <t>5959941122</t>
        </is>
      </c>
      <c r="C5" s="6" t="inlineStr">
        <is>
          <t>CÉLULAS FASES B e C</t>
        </is>
      </c>
      <c r="D5" s="5" t="n">
        <v>2</v>
      </c>
      <c r="E5" s="5" t="inlineStr">
        <is>
          <t>NÃO DESCRITA NA SS</t>
        </is>
      </c>
      <c r="F5" s="5" t="inlineStr">
        <is>
          <t>—</t>
        </is>
      </c>
      <c r="G5" s="6" t="inlineStr">
        <is>
          <t>'feito teste não aceitou as fases B e C'</t>
        </is>
      </c>
      <c r="H5" s="9" t="inlineStr">
        <is>
          <t>OK</t>
        </is>
      </c>
      <c r="I5" s="6" t="inlineStr">
        <is>
          <t>—</t>
        </is>
      </c>
    </row>
    <row r="6">
      <c r="A6" s="4" t="inlineStr">
        <is>
          <t>ETO-COEP 00095/2025</t>
        </is>
      </c>
      <c r="B6" s="5" t="inlineStr">
        <is>
          <t>5955192004</t>
        </is>
      </c>
      <c r="C6" s="6" t="inlineStr">
        <is>
          <t>CÉLULA FASE B</t>
        </is>
      </c>
      <c r="D6" s="5" t="n">
        <v>1</v>
      </c>
      <c r="E6" s="5" t="n">
        <v>13.8</v>
      </c>
      <c r="F6" s="5" t="inlineStr">
        <is>
          <t>—</t>
        </is>
      </c>
      <c r="G6" s="6" t="inlineStr">
        <is>
          <t>'substituir célula no BC... fase B danificada... Tensão 13.8kv'</t>
        </is>
      </c>
      <c r="H6" s="9" t="inlineStr">
        <is>
          <t>OK</t>
        </is>
      </c>
      <c r="I6" s="6" t="inlineStr">
        <is>
          <t>Refazer aterramento do equipamento</t>
        </is>
      </c>
    </row>
    <row r="7">
      <c r="A7" s="4" t="inlineStr">
        <is>
          <t>ETO-COEP 00091/2026</t>
        </is>
      </c>
      <c r="B7" s="5" t="inlineStr">
        <is>
          <t>5953586122</t>
        </is>
      </c>
      <c r="C7" s="6" t="inlineStr">
        <is>
          <t>CÉLULAS FASES A e C</t>
        </is>
      </c>
      <c r="D7" s="5" t="n">
        <v>2</v>
      </c>
      <c r="E7" s="5" t="inlineStr">
        <is>
          <t>NÃO DESCRITA NA SS</t>
        </is>
      </c>
      <c r="F7" s="5" t="n">
        <v>300</v>
      </c>
      <c r="G7" s="6" t="inlineStr">
        <is>
          <t>'defeito na celula da fase A e C, 300KvA'</t>
        </is>
      </c>
      <c r="H7" s="9" t="inlineStr">
        <is>
          <t>OK</t>
        </is>
      </c>
      <c r="I7" s="6" t="inlineStr">
        <is>
          <t>—</t>
        </is>
      </c>
    </row>
    <row r="8">
      <c r="A8" s="4" t="inlineStr">
        <is>
          <t>ETO-COEP 00101/2026</t>
        </is>
      </c>
      <c r="B8" s="5" t="inlineStr">
        <is>
          <t>5952342122</t>
        </is>
      </c>
      <c r="C8" s="6" t="inlineStr">
        <is>
          <t>CÉLULAS FASES A e C</t>
        </is>
      </c>
      <c r="D8" s="5" t="n">
        <v>2</v>
      </c>
      <c r="E8" s="5" t="inlineStr">
        <is>
          <t>NÃO DESCRITA NA SS</t>
        </is>
      </c>
      <c r="F8" s="5" t="inlineStr">
        <is>
          <t>—</t>
        </is>
      </c>
      <c r="G8" s="6" t="inlineStr">
        <is>
          <t>'fase A e C danificada, feito teste e nao aceitou'</t>
        </is>
      </c>
      <c r="H8" s="9" t="inlineStr">
        <is>
          <t>OK</t>
        </is>
      </c>
      <c r="I8" s="6" t="inlineStr">
        <is>
          <t>—</t>
        </is>
      </c>
    </row>
    <row r="9">
      <c r="A9" s="4" t="inlineStr">
        <is>
          <t>ETO-COEP 00075/2025</t>
        </is>
      </c>
      <c r="B9" s="5" t="inlineStr">
        <is>
          <t>5952327122</t>
        </is>
      </c>
      <c r="C9" s="6" t="inlineStr">
        <is>
          <t>3 CÉLULAS (BANCO COMPLETO)</t>
        </is>
      </c>
      <c r="D9" s="5" t="n">
        <v>3</v>
      </c>
      <c r="E9" s="5" t="n">
        <v>13.8</v>
      </c>
      <c r="F9" s="5" t="inlineStr">
        <is>
          <t>—</t>
        </is>
      </c>
      <c r="G9" s="6" t="inlineStr">
        <is>
          <t>'substituir às 3 células do BC... fase A e C aberta e... curto na fase B... Tensão 13.8kv'</t>
        </is>
      </c>
      <c r="H9" s="9" t="inlineStr">
        <is>
          <t>OK</t>
        </is>
      </c>
      <c r="I9" s="6" t="inlineStr">
        <is>
          <t>—</t>
        </is>
      </c>
    </row>
    <row r="10">
      <c r="A10" s="4" t="inlineStr">
        <is>
          <t>ETO-COEP 00102/2026</t>
        </is>
      </c>
      <c r="B10" s="5" t="inlineStr">
        <is>
          <t>5952248122</t>
        </is>
      </c>
      <c r="C10" s="6" t="inlineStr">
        <is>
          <t>CÉLULAS FASES B e C</t>
        </is>
      </c>
      <c r="D10" s="5" t="n">
        <v>2</v>
      </c>
      <c r="E10" s="5" t="inlineStr">
        <is>
          <t>NÃO DESCRITA NA SS</t>
        </is>
      </c>
      <c r="F10" s="5" t="inlineStr">
        <is>
          <t>—</t>
        </is>
      </c>
      <c r="G10" s="6" t="inlineStr">
        <is>
          <t>'SUBSTITUIR CELULA DANIFICADA ABERTO FASE B e C'</t>
        </is>
      </c>
      <c r="H10" s="9" t="inlineStr">
        <is>
          <t>OK</t>
        </is>
      </c>
      <c r="I10" s="6" t="inlineStr">
        <is>
          <t>—</t>
        </is>
      </c>
    </row>
    <row r="11">
      <c r="A11" s="4" t="inlineStr">
        <is>
          <t>ETO-COEP 00018/2024</t>
        </is>
      </c>
      <c r="B11" s="5" t="inlineStr">
        <is>
          <t>5952243122</t>
        </is>
      </c>
      <c r="C11" s="6" t="inlineStr">
        <is>
          <t>CÉLULAS FASES B e C</t>
        </is>
      </c>
      <c r="D11" s="5" t="n">
        <v>2</v>
      </c>
      <c r="E11" s="5" t="inlineStr">
        <is>
          <t>NÃO DESCRITA NA SS</t>
        </is>
      </c>
      <c r="F11" s="5" t="inlineStr">
        <is>
          <t>—</t>
        </is>
      </c>
      <c r="G11" s="6" t="inlineStr">
        <is>
          <t>'danificado fase B e C na quadra 606 Sul'</t>
        </is>
      </c>
      <c r="H11" s="9" t="inlineStr">
        <is>
          <t>OK</t>
        </is>
      </c>
      <c r="I11" s="6" t="inlineStr">
        <is>
          <t>—</t>
        </is>
      </c>
    </row>
    <row r="12">
      <c r="A12" s="4" t="inlineStr">
        <is>
          <t>ETO-COEP 00074/2025</t>
        </is>
      </c>
      <c r="B12" s="5" t="inlineStr">
        <is>
          <t>5952202122</t>
        </is>
      </c>
      <c r="C12" s="6" t="inlineStr">
        <is>
          <t>CÉLULAS FASES A e B</t>
        </is>
      </c>
      <c r="D12" s="5" t="n">
        <v>2</v>
      </c>
      <c r="E12" s="5" t="n">
        <v>13.8</v>
      </c>
      <c r="F12" s="5" t="n">
        <v>300</v>
      </c>
      <c r="G12" s="6" t="inlineStr">
        <is>
          <t>'substituir fase A e B do BC... de 300 kVAr, Tensão 13.8kv'</t>
        </is>
      </c>
      <c r="H12" s="9" t="inlineStr">
        <is>
          <t>OK</t>
        </is>
      </c>
      <c r="I12" s="6" t="inlineStr">
        <is>
          <t>—</t>
        </is>
      </c>
    </row>
    <row r="13">
      <c r="A13" s="4" t="inlineStr">
        <is>
          <t>ETO-COEP 00076/2025</t>
        </is>
      </c>
      <c r="B13" s="5" t="inlineStr">
        <is>
          <t>5951650122</t>
        </is>
      </c>
      <c r="C13" s="6" t="inlineStr">
        <is>
          <t>CÉLULAS FASES B e C</t>
        </is>
      </c>
      <c r="D13" s="5" t="n">
        <v>2</v>
      </c>
      <c r="E13" s="5" t="inlineStr">
        <is>
          <t>NÃO DESCRITA NA SS</t>
        </is>
      </c>
      <c r="F13" s="5" t="inlineStr">
        <is>
          <t>—</t>
        </is>
      </c>
      <c r="G13" s="6" t="inlineStr">
        <is>
          <t>'substituição do banco capacitor com defeito fase B,C'</t>
        </is>
      </c>
      <c r="H13" s="9" t="inlineStr">
        <is>
          <t>OK</t>
        </is>
      </c>
      <c r="I13" s="6" t="inlineStr">
        <is>
          <t>—</t>
        </is>
      </c>
    </row>
    <row r="14">
      <c r="A14" s="4" t="inlineStr">
        <is>
          <t>ETO-COEP 00047/2026</t>
        </is>
      </c>
      <c r="B14" s="5" t="inlineStr">
        <is>
          <t>5950106122</t>
        </is>
      </c>
      <c r="C14" s="6" t="inlineStr">
        <is>
          <t>A DEFINIR (DEFEITO INTERNO)</t>
        </is>
      </c>
      <c r="D14" s="5" t="inlineStr">
        <is>
          <t>A DEFINIR</t>
        </is>
      </c>
      <c r="E14" s="5" t="inlineStr">
        <is>
          <t>NÃO DESCRITA NA SS</t>
        </is>
      </c>
      <c r="F14" s="5" t="inlineStr">
        <is>
          <t>—</t>
        </is>
      </c>
      <c r="G14" s="6" t="inlineStr">
        <is>
          <t>'defeito interno, o mesmo nao foi indentificado aparentemente'</t>
        </is>
      </c>
      <c r="H14" s="10" t="inlineStr">
        <is>
          <t>VERIFICAR</t>
        </is>
      </c>
      <c r="I14" s="6" t="inlineStr">
        <is>
          <t>Necessário teste em campo para definir células</t>
        </is>
      </c>
    </row>
    <row r="15">
      <c r="A15" s="4" t="inlineStr">
        <is>
          <t>ETO-COEP 00090/2026</t>
        </is>
      </c>
      <c r="B15" s="5" t="inlineStr">
        <is>
          <t>5948602003</t>
        </is>
      </c>
      <c r="C15" s="6" t="inlineStr">
        <is>
          <t>CÉLULAS FASES A e B</t>
        </is>
      </c>
      <c r="D15" s="5" t="n">
        <v>2</v>
      </c>
      <c r="E15" s="5" t="inlineStr">
        <is>
          <t>NÃO DESCRITA NA SS</t>
        </is>
      </c>
      <c r="F15" s="5" t="inlineStr">
        <is>
          <t>—</t>
        </is>
      </c>
      <c r="G15" s="6" t="inlineStr">
        <is>
          <t>'não aceito fase a, e b... Substituir fase A e B'</t>
        </is>
      </c>
      <c r="H15" s="9" t="inlineStr">
        <is>
          <t>OK</t>
        </is>
      </c>
      <c r="I15" s="6" t="inlineStr">
        <is>
          <t>—</t>
        </is>
      </c>
    </row>
    <row r="16">
      <c r="A16" s="4" t="inlineStr">
        <is>
          <t>ETO-COEP 00109/2025</t>
        </is>
      </c>
      <c r="B16" s="5" t="inlineStr">
        <is>
          <t>5946473071</t>
        </is>
      </c>
      <c r="C16" s="6" t="inlineStr">
        <is>
          <t>CÉLULAS FASES B e C</t>
        </is>
      </c>
      <c r="D16" s="5" t="n">
        <v>2</v>
      </c>
      <c r="E16" s="5" t="n">
        <v>13.8</v>
      </c>
      <c r="F16" s="5" t="n">
        <v>300</v>
      </c>
      <c r="G16" s="6" t="inlineStr">
        <is>
          <t>'substituir também célula no BC-5946473071 fase B e C danificada ou curto... Tensão 13.8kv'</t>
        </is>
      </c>
      <c r="H16" s="9" t="inlineStr">
        <is>
          <t>OK</t>
        </is>
      </c>
      <c r="I16" s="6" t="inlineStr">
        <is>
          <t>Mesma SS pede 1 célula fase C no BC-5946472071 (300kVAr)</t>
        </is>
      </c>
    </row>
    <row r="17">
      <c r="A17" s="4" t="inlineStr">
        <is>
          <t>ETO-COEP 00116/2026</t>
        </is>
      </c>
      <c r="B17" s="5" t="inlineStr">
        <is>
          <t>5944271122</t>
        </is>
      </c>
      <c r="C17" s="6" t="inlineStr">
        <is>
          <t>CÉLULA FASE A</t>
        </is>
      </c>
      <c r="D17" s="5" t="n">
        <v>1</v>
      </c>
      <c r="E17" s="5" t="n">
        <v>13.8</v>
      </c>
      <c r="F17" s="5" t="n">
        <v>300</v>
      </c>
      <c r="G17" s="6" t="inlineStr">
        <is>
          <t>'substituir fase A do BC... 300 kVAr com celular em curto, Tensão 13.8kv'</t>
        </is>
      </c>
      <c r="H17" s="9" t="inlineStr">
        <is>
          <t>OK</t>
        </is>
      </c>
      <c r="I17" s="6" t="inlineStr">
        <is>
          <t>—</t>
        </is>
      </c>
    </row>
    <row r="18">
      <c r="A18" s="4" t="inlineStr">
        <is>
          <t>ETO-COEP 00058/2024</t>
        </is>
      </c>
      <c r="B18" s="5" t="inlineStr">
        <is>
          <t>5924849004</t>
        </is>
      </c>
      <c r="C18" s="6" t="inlineStr">
        <is>
          <t>3 CÉLULAS (FASES A, B e C)</t>
        </is>
      </c>
      <c r="D18" s="5" t="n">
        <v>3</v>
      </c>
      <c r="E18" s="5" t="inlineStr">
        <is>
          <t>NÃO DESCRITA NA SS</t>
        </is>
      </c>
      <c r="F18" s="5" t="inlineStr">
        <is>
          <t>—</t>
        </is>
      </c>
      <c r="G18" s="6" t="inlineStr">
        <is>
          <t>'5924849004 inspecionado com defeito nas fases A,B,C'</t>
        </is>
      </c>
      <c r="H18" s="9" t="inlineStr">
        <is>
          <t>OK</t>
        </is>
      </c>
      <c r="I18" s="6" t="inlineStr">
        <is>
          <t>SS cita ainda BC 5900326004 e 5900383004 c/ vazamento de óleo e 5900600004 fases A,C</t>
        </is>
      </c>
    </row>
    <row r="19">
      <c r="A19" s="4" t="inlineStr">
        <is>
          <t>ETO-COEP 00093/2026</t>
        </is>
      </c>
      <c r="B19" s="5" t="inlineStr">
        <is>
          <t>5922361122</t>
        </is>
      </c>
      <c r="C19" s="6" t="inlineStr">
        <is>
          <t>CÉLULA FASE A</t>
        </is>
      </c>
      <c r="D19" s="5" t="n">
        <v>1</v>
      </c>
      <c r="E19" s="5" t="inlineStr">
        <is>
          <t>NÃO DESCRITA NA SS</t>
        </is>
      </c>
      <c r="F19" s="5" t="inlineStr">
        <is>
          <t>—</t>
        </is>
      </c>
      <c r="G19" s="6" t="inlineStr">
        <is>
          <t>'feito teste na Fase A... não aceitou... celula queimada Fase A'</t>
        </is>
      </c>
      <c r="H19" s="9" t="inlineStr">
        <is>
          <t>OK</t>
        </is>
      </c>
      <c r="I19" s="6" t="inlineStr">
        <is>
          <t>—</t>
        </is>
      </c>
    </row>
    <row r="20">
      <c r="A20" s="4" t="inlineStr">
        <is>
          <t>ETO-COEP 00060/2024</t>
        </is>
      </c>
      <c r="B20" s="5" t="inlineStr">
        <is>
          <t>5913313004</t>
        </is>
      </c>
      <c r="C20" s="6" t="inlineStr">
        <is>
          <t>A DEFINIR</t>
        </is>
      </c>
      <c r="D20" s="5" t="inlineStr">
        <is>
          <t>A DEFINIR</t>
        </is>
      </c>
      <c r="E20" s="5" t="inlineStr">
        <is>
          <t>NÃO DESCRITA NA SS</t>
        </is>
      </c>
      <c r="F20" s="5" t="inlineStr">
        <is>
          <t>—</t>
        </is>
      </c>
      <c r="G20" s="6" t="inlineStr">
        <is>
          <t>'o mesmo não aceitou fechamento... verificar em campo'</t>
        </is>
      </c>
      <c r="H20" s="10" t="inlineStr">
        <is>
          <t>VERIFICAR</t>
        </is>
      </c>
      <c r="I20" s="6" t="inlineStr">
        <is>
          <t>Defeito não discriminado por fase</t>
        </is>
      </c>
    </row>
    <row r="21">
      <c r="A21" s="4" t="inlineStr">
        <is>
          <t>ETO-COEP 00077/2025</t>
        </is>
      </c>
      <c r="B21" s="5" t="inlineStr">
        <is>
          <t>5907243122</t>
        </is>
      </c>
      <c r="C21" s="6" t="inlineStr">
        <is>
          <t>CÉLULA FASE B</t>
        </is>
      </c>
      <c r="D21" s="5" t="n">
        <v>1</v>
      </c>
      <c r="E21" s="5" t="inlineStr">
        <is>
          <t>NÃO DESCRITA NA SS</t>
        </is>
      </c>
      <c r="F21" s="5" t="inlineStr">
        <is>
          <t>—</t>
        </is>
      </c>
      <c r="G21" s="6" t="inlineStr">
        <is>
          <t>'feito teste porém fase B não aceitou'</t>
        </is>
      </c>
      <c r="H21" s="9" t="inlineStr">
        <is>
          <t>OK</t>
        </is>
      </c>
      <c r="I21" s="6" t="inlineStr">
        <is>
          <t>—</t>
        </is>
      </c>
    </row>
    <row r="22">
      <c r="A22" s="4" t="inlineStr">
        <is>
          <t>ETO-COEP 00085/2025</t>
        </is>
      </c>
      <c r="B22" s="5" t="inlineStr">
        <is>
          <t>5903718004</t>
        </is>
      </c>
      <c r="C22" s="6" t="inlineStr">
        <is>
          <t>A DEFINIR (MANUTENÇÃO)</t>
        </is>
      </c>
      <c r="D22" s="5" t="inlineStr">
        <is>
          <t>A DEFINIR</t>
        </is>
      </c>
      <c r="E22" s="5" t="inlineStr">
        <is>
          <t>NÃO DESCRITA NA SS</t>
        </is>
      </c>
      <c r="F22" s="5" t="inlineStr">
        <is>
          <t>—</t>
        </is>
      </c>
      <c r="G22" s="6" t="inlineStr">
        <is>
          <t>'faze manutenção eles esta com chave aberto em campo' (BCs 5900470004, 5903718004, 5900668004)</t>
        </is>
      </c>
      <c r="H22" s="10" t="inlineStr">
        <is>
          <t>VERIFICAR</t>
        </is>
      </c>
      <c r="I22" s="6" t="inlineStr">
        <is>
          <t>SS coletiva, sem fase identificada</t>
        </is>
      </c>
    </row>
    <row r="23">
      <c r="A23" s="4" t="inlineStr">
        <is>
          <t>ETO-COEP 00082/2025</t>
        </is>
      </c>
      <c r="B23" s="5" t="inlineStr">
        <is>
          <t>5901886003</t>
        </is>
      </c>
      <c r="C23" s="6" t="inlineStr">
        <is>
          <t>A DEFINIR (MANUTENÇÃO)</t>
        </is>
      </c>
      <c r="D23" s="5" t="inlineStr">
        <is>
          <t>A DEFINIR</t>
        </is>
      </c>
      <c r="E23" s="5" t="n">
        <v>13.8</v>
      </c>
      <c r="F23" s="5" t="inlineStr">
        <is>
          <t>—</t>
        </is>
      </c>
      <c r="G23" s="6" t="inlineStr">
        <is>
          <t>'manutenção nos bancos capacitores 5900358003, 5900364003 e 5901886003... na 13.8kV'</t>
        </is>
      </c>
      <c r="H23" s="10" t="inlineStr">
        <is>
          <t>VERIFICAR</t>
        </is>
      </c>
      <c r="I23" s="6" t="inlineStr">
        <is>
          <t>SS coletiva, sem fase identificada</t>
        </is>
      </c>
    </row>
    <row r="24">
      <c r="A24" s="4" t="inlineStr">
        <is>
          <t>ETO-COEP 00118/2026</t>
        </is>
      </c>
      <c r="B24" s="5" t="inlineStr">
        <is>
          <t>5900600004</t>
        </is>
      </c>
      <c r="C24" s="6" t="inlineStr">
        <is>
          <t>CÉLULAS FASES A e C</t>
        </is>
      </c>
      <c r="D24" s="5" t="n">
        <v>2</v>
      </c>
      <c r="E24" s="5" t="inlineStr">
        <is>
          <t>NÃO DESCRITA NA SS</t>
        </is>
      </c>
      <c r="F24" s="5" t="inlineStr">
        <is>
          <t>—</t>
        </is>
      </c>
      <c r="G24" s="6" t="inlineStr">
        <is>
          <t>'identificado BC com fases AC danificadas. Seguir com a substituição'</t>
        </is>
      </c>
      <c r="H24" s="9" t="inlineStr">
        <is>
          <t>OK</t>
        </is>
      </c>
      <c r="I24" s="6" t="inlineStr">
        <is>
          <t>—</t>
        </is>
      </c>
    </row>
    <row r="25">
      <c r="A25" s="4" t="inlineStr">
        <is>
          <t>ETO-COEP 00073/2025</t>
        </is>
      </c>
      <c r="B25" s="5" t="inlineStr">
        <is>
          <t>5900489122</t>
        </is>
      </c>
      <c r="C25" s="6" t="inlineStr">
        <is>
          <t>3 CÉLULAS (BANCO COMPLETO)</t>
        </is>
      </c>
      <c r="D25" s="5" t="n">
        <v>3</v>
      </c>
      <c r="E25" s="5" t="n">
        <v>13.8</v>
      </c>
      <c r="F25" s="5" t="n">
        <v>600</v>
      </c>
      <c r="G25" s="6" t="inlineStr">
        <is>
          <t>'substituir às 3 células do BC... de 600 kVAr, Tensão 13.8kv... muito antigos favor substituir às 3'</t>
        </is>
      </c>
      <c r="H25" s="9" t="inlineStr">
        <is>
          <t>OK</t>
        </is>
      </c>
      <c r="I25" s="6" t="inlineStr">
        <is>
          <t>—</t>
        </is>
      </c>
    </row>
    <row r="26">
      <c r="A26" s="4" t="inlineStr">
        <is>
          <t>ETO-COEP 00084/2025</t>
        </is>
      </c>
      <c r="B26" s="5" t="inlineStr">
        <is>
          <t>5900470004</t>
        </is>
      </c>
      <c r="C26" s="6" t="inlineStr">
        <is>
          <t>A DEFINIR (MANUTENÇÃO)</t>
        </is>
      </c>
      <c r="D26" s="5" t="inlineStr">
        <is>
          <t>A DEFINIR</t>
        </is>
      </c>
      <c r="E26" s="5" t="inlineStr">
        <is>
          <t>NÃO DESCRITA NA SS</t>
        </is>
      </c>
      <c r="F26" s="5" t="inlineStr">
        <is>
          <t>—</t>
        </is>
      </c>
      <c r="G26" s="6" t="inlineStr">
        <is>
          <t>'esta com chave aberto em campo' (BCs 5900470004, 5903718004, 5900668004)</t>
        </is>
      </c>
      <c r="H26" s="10" t="inlineStr">
        <is>
          <t>VERIFICAR</t>
        </is>
      </c>
      <c r="I26" s="6" t="inlineStr">
        <is>
          <t>SS coletiva, sem fase identificada</t>
        </is>
      </c>
    </row>
    <row r="27">
      <c r="A27" s="4" t="inlineStr">
        <is>
          <t>ETO-COEP 00103/2026</t>
        </is>
      </c>
      <c r="B27" s="5" t="inlineStr">
        <is>
          <t>5900358003</t>
        </is>
      </c>
      <c r="C27" s="6" t="inlineStr">
        <is>
          <t>CÉLULA FASE B</t>
        </is>
      </c>
      <c r="D27" s="5" t="n">
        <v>1</v>
      </c>
      <c r="E27" s="5" t="inlineStr">
        <is>
          <t>NÃO DESCRITA NA SS</t>
        </is>
      </c>
      <c r="F27" s="5" t="inlineStr">
        <is>
          <t>—</t>
        </is>
      </c>
      <c r="G27" s="6" t="inlineStr">
        <is>
          <t>'substituir celula capacitiva em curto fase B... feito teste nao aceitou'</t>
        </is>
      </c>
      <c r="H27" s="9" t="inlineStr">
        <is>
          <t>OK</t>
        </is>
      </c>
      <c r="I27" s="6" t="inlineStr">
        <is>
          <t>—</t>
        </is>
      </c>
    </row>
    <row r="28">
      <c r="A28" s="4" t="inlineStr">
        <is>
          <t>ETO-COEP 00064/2025</t>
        </is>
      </c>
      <c r="B28" s="5" t="inlineStr">
        <is>
          <t>5900293123</t>
        </is>
      </c>
      <c r="C28" s="6" t="inlineStr">
        <is>
          <t>CÉLULA FASE A</t>
        </is>
      </c>
      <c r="D28" s="5" t="n">
        <v>1</v>
      </c>
      <c r="E28" s="5" t="inlineStr">
        <is>
          <t>NÃO DESCRITA NA SS</t>
        </is>
      </c>
      <c r="F28" s="5" t="inlineStr">
        <is>
          <t>—</t>
        </is>
      </c>
      <c r="G28" s="6" t="inlineStr">
        <is>
          <t>'Ao fazer teste no mesmo a fase A não aceitou'</t>
        </is>
      </c>
      <c r="H28" s="9" t="inlineStr">
        <is>
          <t>OK</t>
        </is>
      </c>
      <c r="I28" s="6" t="inlineStr">
        <is>
          <t>—</t>
        </is>
      </c>
    </row>
    <row r="29">
      <c r="A29" s="4" t="inlineStr">
        <is>
          <t>ETO-COEP 00092/2026</t>
        </is>
      </c>
      <c r="B29" s="5" t="inlineStr">
        <is>
          <t>5900272004</t>
        </is>
      </c>
      <c r="C29" s="6" t="inlineStr">
        <is>
          <t>CÉLULA FASE C</t>
        </is>
      </c>
      <c r="D29" s="5" t="n">
        <v>1</v>
      </c>
      <c r="E29" s="5" t="inlineStr">
        <is>
          <t>NÃO DESCRITA NA SS</t>
        </is>
      </c>
      <c r="F29" s="5" t="inlineStr">
        <is>
          <t>—</t>
        </is>
      </c>
      <c r="G29" s="6" t="inlineStr">
        <is>
          <t>'substituir celula capacitiva em curto fase C... celula queimada'</t>
        </is>
      </c>
      <c r="H29" s="9" t="inlineStr">
        <is>
          <t>OK</t>
        </is>
      </c>
      <c r="I29" s="6" t="inlineStr">
        <is>
          <t>—</t>
        </is>
      </c>
    </row>
    <row r="30">
      <c r="A30" s="4" t="inlineStr">
        <is>
          <t>ETO-COEP 00140/2025</t>
        </is>
      </c>
      <c r="B30" s="5" t="inlineStr">
        <is>
          <t>5900129052</t>
        </is>
      </c>
      <c r="C30" s="6" t="inlineStr">
        <is>
          <t>CÉLULAS FASES A e B</t>
        </is>
      </c>
      <c r="D30" s="5" t="n">
        <v>2</v>
      </c>
      <c r="E30" s="5" t="n">
        <v>13.8</v>
      </c>
      <c r="F30" s="5" t="inlineStr">
        <is>
          <t>—</t>
        </is>
      </c>
      <c r="G30" s="6" t="inlineStr">
        <is>
          <t>'celula fase A e B não aceitou... tensão 13.8 kv'</t>
        </is>
      </c>
      <c r="H30" s="9" t="inlineStr">
        <is>
          <t>OK</t>
        </is>
      </c>
      <c r="I30" s="6" t="inlineStr">
        <is>
          <t>—</t>
        </is>
      </c>
    </row>
    <row r="31">
      <c r="A31" s="4" t="inlineStr">
        <is>
          <t>ETO-COEP 00100/2026</t>
        </is>
      </c>
      <c r="B31" s="5" t="inlineStr">
        <is>
          <t>5900109059</t>
        </is>
      </c>
      <c r="C31" s="6" t="inlineStr">
        <is>
          <t>CÉLULAS FASES A e C</t>
        </is>
      </c>
      <c r="D31" s="5" t="n">
        <v>2</v>
      </c>
      <c r="E31" s="5" t="inlineStr">
        <is>
          <t>NÃO DESCRITA NA SS</t>
        </is>
      </c>
      <c r="F31" s="5" t="inlineStr">
        <is>
          <t>—</t>
        </is>
      </c>
      <c r="G31" s="6" t="inlineStr">
        <is>
          <t>'celula queimada fase A e C queimadas, realizado teste'</t>
        </is>
      </c>
      <c r="H31" s="9" t="inlineStr">
        <is>
          <t>OK</t>
        </is>
      </c>
      <c r="I31" s="6" t="inlineStr">
        <is>
          <t>—</t>
        </is>
      </c>
    </row>
    <row r="32">
      <c r="A32" s="4" t="inlineStr">
        <is>
          <t>ETO-COEP 00083/2024</t>
        </is>
      </c>
      <c r="B32" s="5" t="inlineStr">
        <is>
          <t>5900064029</t>
        </is>
      </c>
      <c r="C32" s="6" t="inlineStr">
        <is>
          <t>3 CÉLULAS (FASES A, B e C)</t>
        </is>
      </c>
      <c r="D32" s="5" t="n">
        <v>3</v>
      </c>
      <c r="E32" s="5" t="inlineStr">
        <is>
          <t>NÃO DESCRITA NA SS</t>
        </is>
      </c>
      <c r="F32" s="5" t="inlineStr">
        <is>
          <t>—</t>
        </is>
      </c>
      <c r="G32" s="6" t="inlineStr">
        <is>
          <t>'Fase A com vazamento de oleo, Fase B e C tambem com defeito'</t>
        </is>
      </c>
      <c r="H32" s="9" t="inlineStr">
        <is>
          <t>OK</t>
        </is>
      </c>
      <c r="I32" s="6" t="inlineStr">
        <is>
          <t>—</t>
        </is>
      </c>
    </row>
    <row r="33">
      <c r="A33" s="4" t="inlineStr">
        <is>
          <t>ETO-COEP 00002/2026</t>
        </is>
      </c>
      <c r="B33" s="5" t="inlineStr">
        <is>
          <t>5900038047</t>
        </is>
      </c>
      <c r="C33" s="6" t="inlineStr">
        <is>
          <t>CÉLULA FASE B</t>
        </is>
      </c>
      <c r="D33" s="5" t="n">
        <v>1</v>
      </c>
      <c r="E33" s="5" t="inlineStr">
        <is>
          <t>NÃO DESCRITA NA SS</t>
        </is>
      </c>
      <c r="F33" s="5" t="inlineStr">
        <is>
          <t>—</t>
        </is>
      </c>
      <c r="G33" s="6" t="inlineStr">
        <is>
          <t>'CÉLULA DA FASE B QUEIMADA... JA FIZERAM TESTE E NÃO ACEITOU'</t>
        </is>
      </c>
      <c r="H33" s="9" t="inlineStr">
        <is>
          <t>OK</t>
        </is>
      </c>
      <c r="I33" s="6" t="inlineStr">
        <is>
          <t>—</t>
        </is>
      </c>
    </row>
    <row r="34">
      <c r="A34" s="4" t="inlineStr">
        <is>
          <t>ETO-COEP 00175/2025</t>
        </is>
      </c>
      <c r="B34" s="5" t="inlineStr">
        <is>
          <t>5900010002</t>
        </is>
      </c>
      <c r="C34" s="6" t="inlineStr">
        <is>
          <t>3 CÉLULAS (BANCO COMPLETO)</t>
        </is>
      </c>
      <c r="D34" s="5" t="n">
        <v>3</v>
      </c>
      <c r="E34" s="5" t="inlineStr">
        <is>
          <t>NÃO DESCRITA NA SS</t>
        </is>
      </c>
      <c r="F34" s="5" t="n">
        <v>100</v>
      </c>
      <c r="G34" s="6" t="inlineStr">
        <is>
          <t>'Substituir 3 celula do Banco Capacitor... 100 KVAR... 03 fases em curto'</t>
        </is>
      </c>
      <c r="H34" s="9" t="inlineStr">
        <is>
          <t>OK</t>
        </is>
      </c>
      <c r="I34" s="6" t="inlineStr">
        <is>
          <t>—</t>
        </is>
      </c>
    </row>
    <row r="35">
      <c r="A35" s="4" t="inlineStr">
        <is>
          <t>ETO-COEP 00146/2024</t>
        </is>
      </c>
      <c r="B35" s="5" t="inlineStr">
        <is>
          <t>5900003013</t>
        </is>
      </c>
      <c r="C35" s="6" t="inlineStr">
        <is>
          <t>CÉLULA FASE B</t>
        </is>
      </c>
      <c r="D35" s="5" t="n">
        <v>1</v>
      </c>
      <c r="E35" s="5" t="inlineStr">
        <is>
          <t>NÃO DESCRITA NA SS</t>
        </is>
      </c>
      <c r="F35" s="5" t="inlineStr">
        <is>
          <t>—</t>
        </is>
      </c>
      <c r="G35" s="6" t="inlineStr">
        <is>
          <t>'substituiçaõ da fase b do banco capacitor... o mesmo não aceita'</t>
        </is>
      </c>
      <c r="H35" s="9" t="inlineStr">
        <is>
          <t>OK</t>
        </is>
      </c>
      <c r="I35" s="6" t="inlineStr">
        <is>
          <t>—</t>
        </is>
      </c>
    </row>
    <row r="36">
      <c r="C36" s="11" t="inlineStr">
        <is>
          <t>TOTAL DE CÉLULAS IDENTIFICADAS</t>
        </is>
      </c>
      <c r="D36" s="14" t="n">
        <v>49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62" customWidth="1" min="4" max="4"/>
    <col width="16" customWidth="1" min="5" max="5"/>
  </cols>
  <sheetData>
    <row r="1" ht="24" customHeight="1">
      <c r="A1" s="1" t="inlineStr">
        <is>
          <t>PREMISSAS E PREÇOS UNITÁRIOS</t>
        </is>
      </c>
    </row>
    <row r="2">
      <c r="A2" s="2" t="inlineStr">
        <is>
          <t>Fonte: abas 'Religadores'/'Reguladores' e 'VALOR EM ESTOQUE'. Altere aqui para recalcular tudo.</t>
        </is>
      </c>
    </row>
    <row r="4">
      <c r="A4" s="15" t="inlineStr">
        <is>
          <t>1) Preço por categoria (religadores)</t>
        </is>
      </c>
    </row>
    <row r="5">
      <c r="A5" s="16" t="inlineStr">
        <is>
          <t>Categoria</t>
        </is>
      </c>
      <c r="B5" s="16" t="inlineStr">
        <is>
          <t>Tensão (kV)</t>
        </is>
      </c>
      <c r="C5" s="16" t="inlineStr">
        <is>
          <t>Valor Unitário</t>
        </is>
      </c>
      <c r="D5" s="16" t="inlineStr">
        <is>
          <t>Composição</t>
        </is>
      </c>
      <c r="E5" s="16" t="inlineStr">
        <is>
          <t>Códigos</t>
        </is>
      </c>
    </row>
    <row r="6">
      <c r="A6" s="17" t="inlineStr">
        <is>
          <t>Equipamento completo</t>
        </is>
      </c>
      <c r="B6" s="17" t="n">
        <v>13.8</v>
      </c>
      <c r="C6" s="18" t="n">
        <v>55602.54</v>
      </c>
      <c r="D6" s="17" t="inlineStr">
        <is>
          <t>Religador + Controle</t>
        </is>
      </c>
      <c r="E6" s="17" t="inlineStr">
        <is>
          <t>690001+690916</t>
        </is>
      </c>
    </row>
    <row r="7">
      <c r="A7" s="17" t="inlineStr">
        <is>
          <t>Equipamento completo</t>
        </is>
      </c>
      <c r="B7" s="17" t="n">
        <v>34.5</v>
      </c>
      <c r="C7" s="18" t="n">
        <v>76246.2</v>
      </c>
      <c r="D7" s="17" t="inlineStr">
        <is>
          <t>Religador + Controle</t>
        </is>
      </c>
      <c r="E7" s="17" t="inlineStr">
        <is>
          <t>690005+692263</t>
        </is>
      </c>
    </row>
    <row r="8">
      <c r="A8" s="17" t="inlineStr">
        <is>
          <t>Parte ativa (Tanque)</t>
        </is>
      </c>
      <c r="B8" s="17" t="n">
        <v>13.8</v>
      </c>
      <c r="C8" s="18" t="n">
        <v>21785.72</v>
      </c>
      <c r="D8" s="17" t="inlineStr">
        <is>
          <t>Só religador</t>
        </is>
      </c>
      <c r="E8" s="17" t="inlineStr">
        <is>
          <t>690001</t>
        </is>
      </c>
    </row>
    <row r="9">
      <c r="A9" s="17" t="inlineStr">
        <is>
          <t>Parte ativa (Tanque)</t>
        </is>
      </c>
      <c r="B9" s="17" t="n">
        <v>34.5</v>
      </c>
      <c r="C9" s="18" t="n">
        <v>38151.48</v>
      </c>
      <c r="D9" s="17" t="inlineStr">
        <is>
          <t>Só religador</t>
        </is>
      </c>
      <c r="E9" s="17" t="inlineStr">
        <is>
          <t>690005</t>
        </is>
      </c>
    </row>
    <row r="10">
      <c r="A10" s="17" t="inlineStr">
        <is>
          <t>Controle completo</t>
        </is>
      </c>
      <c r="B10" s="17" t="n">
        <v>13.8</v>
      </c>
      <c r="C10" s="18" t="n">
        <v>33816.82</v>
      </c>
      <c r="D10" s="17" t="inlineStr">
        <is>
          <t>Só controle</t>
        </is>
      </c>
      <c r="E10" s="17" t="inlineStr">
        <is>
          <t>690916</t>
        </is>
      </c>
    </row>
    <row r="11">
      <c r="A11" s="17" t="inlineStr">
        <is>
          <t>Controle completo</t>
        </is>
      </c>
      <c r="B11" s="17" t="n">
        <v>34.5</v>
      </c>
      <c r="C11" s="18" t="n">
        <v>38094.72</v>
      </c>
      <c r="D11" s="17" t="inlineStr">
        <is>
          <t>Só controle</t>
        </is>
      </c>
      <c r="E11" s="17" t="inlineStr">
        <is>
          <t>692263</t>
        </is>
      </c>
    </row>
    <row r="13">
      <c r="A13" s="15" t="inlineStr">
        <is>
          <t>2) Itens granulares (VALOR EM ESTOQUE)</t>
        </is>
      </c>
    </row>
    <row r="14">
      <c r="A14" s="16" t="inlineStr">
        <is>
          <t>Item</t>
        </is>
      </c>
      <c r="B14" s="16" t="inlineStr">
        <is>
          <t>Cód. Material</t>
        </is>
      </c>
      <c r="C14" s="16" t="inlineStr">
        <is>
          <t>Valor Unitário</t>
        </is>
      </c>
      <c r="D14" s="16" t="inlineStr">
        <is>
          <t>Regra aplicada</t>
        </is>
      </c>
      <c r="E14" s="16" t="inlineStr"/>
    </row>
    <row r="15">
      <c r="A15" s="17" t="inlineStr">
        <is>
          <t>Relé prot. multifunção 50/51 (relé do religador)</t>
        </is>
      </c>
      <c r="B15" s="17" t="inlineStr">
        <is>
          <t>625510</t>
        </is>
      </c>
      <c r="C15" s="18" t="n">
        <v>10454.01</v>
      </c>
      <c r="D15" s="17" t="inlineStr">
        <is>
          <t>Relé avulso</t>
        </is>
      </c>
      <c r="E15" s="17" t="inlineStr"/>
    </row>
    <row r="16">
      <c r="A16" s="17" t="inlineStr">
        <is>
          <t>Placa religador circ. impresso RC10</t>
        </is>
      </c>
      <c r="B16" s="17" t="inlineStr">
        <is>
          <t>647641</t>
        </is>
      </c>
      <c r="C16" s="18" t="n">
        <v>1999</v>
      </c>
      <c r="D16" s="17" t="inlineStr">
        <is>
          <t>NÃO usada: placa é tratada como CONTROLE COMPLETO (premissa do usuário)</t>
        </is>
      </c>
      <c r="E16" s="17" t="inlineStr"/>
    </row>
    <row r="17">
      <c r="A17" s="17" t="inlineStr">
        <is>
          <t>Chave secc distr faca 36,2kV 630A (por fase)</t>
        </is>
      </c>
      <c r="B17" s="17" t="inlineStr">
        <is>
          <t>90556</t>
        </is>
      </c>
      <c r="C17" s="18" t="n">
        <v>736.4299999999999</v>
      </c>
      <c r="D17" s="17" t="inlineStr">
        <is>
          <t>Por fase danificada</t>
        </is>
      </c>
      <c r="E17" s="17" t="inlineStr"/>
    </row>
    <row r="18">
      <c r="A18" s="17" t="inlineStr">
        <is>
          <t>Bateria lítio + Rádio GE Orbit</t>
        </is>
      </c>
      <c r="B18" s="17" t="inlineStr">
        <is>
          <t>647867+64939</t>
        </is>
      </c>
      <c r="C18" s="18" t="n">
        <v>14612.08</v>
      </c>
      <c r="D18" s="17" t="inlineStr">
        <is>
          <t>Quando SS pede rádio/kit comunicação</t>
        </is>
      </c>
      <c r="E18" s="17" t="inlineStr"/>
    </row>
    <row r="20">
      <c r="A20" s="15" t="inlineStr">
        <is>
          <t>3) Mão de obra — serviço de campo (ETO 30, coluna 'Custo MO')</t>
        </is>
      </c>
    </row>
    <row r="21">
      <c r="A21" s="16" t="inlineStr">
        <is>
          <t>Equipamento</t>
        </is>
      </c>
      <c r="B21" s="16" t="inlineStr">
        <is>
          <t>Tensão (kV)</t>
        </is>
      </c>
      <c r="C21" s="16" t="inlineStr">
        <is>
          <t>Valor MO</t>
        </is>
      </c>
      <c r="D21" s="16" t="inlineStr">
        <is>
          <t>Observação</t>
        </is>
      </c>
      <c r="E21" s="16" t="inlineStr"/>
    </row>
    <row r="22">
      <c r="A22" s="17" t="inlineStr">
        <is>
          <t>Religador</t>
        </is>
      </c>
      <c r="B22" s="17" t="n">
        <v>13.8</v>
      </c>
      <c r="C22" s="18" t="n">
        <v>11016.94</v>
      </c>
      <c r="D22" s="17" t="inlineStr">
        <is>
          <t>Substituição/instalação em campo</t>
        </is>
      </c>
      <c r="E22" s="17" t="inlineStr"/>
    </row>
    <row r="23">
      <c r="A23" s="17" t="inlineStr">
        <is>
          <t>Religador</t>
        </is>
      </c>
      <c r="B23" s="17" t="n">
        <v>34.5</v>
      </c>
      <c r="C23" s="18" t="n">
        <v>13209.34</v>
      </c>
      <c r="D23" s="17" t="inlineStr">
        <is>
          <t>Substituição/instalação em campo</t>
        </is>
      </c>
      <c r="E23" s="17" t="inlineStr"/>
    </row>
    <row r="24">
      <c r="A24" s="17" t="inlineStr">
        <is>
          <t>Regulador</t>
        </is>
      </c>
      <c r="B24" s="17" t="n">
        <v>13.8</v>
      </c>
      <c r="C24" s="18" t="n">
        <v>51402.14</v>
      </c>
      <c r="D24" s="17" t="inlineStr">
        <is>
          <t>Serviço de campo (célula/parte ativa). Só controle =&gt; MO 0 (padrão ETO 30)</t>
        </is>
      </c>
      <c r="E24" s="17" t="inlineStr"/>
    </row>
    <row r="25">
      <c r="A25" s="17" t="inlineStr">
        <is>
          <t>Regulador</t>
        </is>
      </c>
      <c r="B25" s="17" t="n">
        <v>34.5</v>
      </c>
      <c r="C25" s="18" t="n">
        <v>80318.5</v>
      </c>
      <c r="D25" s="17" t="inlineStr">
        <is>
          <t>Serviço de campo (célula/parte ativa). Só controle =&gt; MO 0 (padrão ETO 30)</t>
        </is>
      </c>
      <c r="E25" s="17" t="inlineStr"/>
    </row>
    <row r="27">
      <c r="A27" s="15" t="inlineStr">
        <is>
          <t>4) Reguladores — preço POR CÉLULA (material = nº células × preço; completo = 3 células)</t>
        </is>
      </c>
    </row>
    <row r="28">
      <c r="A28" s="16" t="inlineStr">
        <is>
          <t>Código</t>
        </is>
      </c>
      <c r="B28" s="16" t="inlineStr">
        <is>
          <t>Tensão / kVA</t>
        </is>
      </c>
      <c r="C28" s="16" t="inlineStr">
        <is>
          <t>R$ por célula</t>
        </is>
      </c>
      <c r="D28" s="16" t="inlineStr"/>
      <c r="E28" s="16" t="inlineStr"/>
    </row>
    <row r="29">
      <c r="A29" s="17" t="inlineStr">
        <is>
          <t>690236</t>
        </is>
      </c>
      <c r="B29" s="17" t="inlineStr">
        <is>
          <t>13,8 / 239 kVA</t>
        </is>
      </c>
      <c r="C29" s="18" t="n">
        <v>62113.2</v>
      </c>
      <c r="D29" s="17" t="inlineStr"/>
      <c r="E29" s="17" t="inlineStr"/>
    </row>
    <row r="30">
      <c r="A30" s="17" t="inlineStr">
        <is>
          <t>690669</t>
        </is>
      </c>
      <c r="B30" s="17" t="inlineStr">
        <is>
          <t>13,8 / 167 kVA</t>
        </is>
      </c>
      <c r="C30" s="18" t="n">
        <v>27616.62</v>
      </c>
      <c r="D30" s="17" t="inlineStr"/>
      <c r="E30" s="17" t="inlineStr"/>
    </row>
    <row r="31">
      <c r="A31" s="17" t="inlineStr">
        <is>
          <t>690240</t>
        </is>
      </c>
      <c r="B31" s="17" t="inlineStr">
        <is>
          <t>34,5 / 200 kVA</t>
        </is>
      </c>
      <c r="C31" s="18" t="n">
        <v>51705.75</v>
      </c>
      <c r="D31" s="17" t="inlineStr"/>
      <c r="E31" s="17" t="inlineStr"/>
    </row>
    <row r="32">
      <c r="A32" s="17" t="inlineStr">
        <is>
          <t>690241</t>
        </is>
      </c>
      <c r="B32" s="17" t="inlineStr">
        <is>
          <t>34,5 / 400 kVA</t>
        </is>
      </c>
      <c r="C32" s="18" t="n">
        <v>90230</v>
      </c>
      <c r="D32" s="17" t="inlineStr"/>
      <c r="E32" s="17" t="inlineStr"/>
    </row>
    <row r="34">
      <c r="A34" s="15" t="inlineStr">
        <is>
          <t>5) Controle de regulador (fora da imagem de premissas — fonte ETO 30 / ESTOQUE N1)</t>
        </is>
      </c>
    </row>
    <row r="35">
      <c r="A35" s="16" t="inlineStr">
        <is>
          <t>Item</t>
        </is>
      </c>
      <c r="B35" s="16" t="inlineStr">
        <is>
          <t>Cód. Material</t>
        </is>
      </c>
      <c r="C35" s="16" t="inlineStr">
        <is>
          <t>Valor Unitário</t>
        </is>
      </c>
      <c r="D35" s="16" t="inlineStr">
        <is>
          <t>Fonte</t>
        </is>
      </c>
      <c r="E35" s="16" t="inlineStr"/>
    </row>
    <row r="36">
      <c r="A36" s="17" t="inlineStr">
        <is>
          <t>Controle regulador / relé sincronismo contr. tensão</t>
        </is>
      </c>
      <c r="B36" s="17" t="inlineStr">
        <is>
          <t>616033</t>
        </is>
      </c>
      <c r="C36" s="18" t="n">
        <v>23259.6</v>
      </c>
      <c r="D36" s="17" t="inlineStr">
        <is>
          <t>ETO 30 'Custo controle' + ESTOQUE N1</t>
        </is>
      </c>
      <c r="E36" s="17" t="inlineStr"/>
    </row>
  </sheetData>
  <mergeCells count="6">
    <mergeCell ref="A34:E34"/>
    <mergeCell ref="A4:E4"/>
    <mergeCell ref="A20:E20"/>
    <mergeCell ref="A1:E1"/>
    <mergeCell ref="A13:E13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50" customWidth="1" min="2" max="2"/>
  </cols>
  <sheetData>
    <row r="1" ht="24" customHeight="1">
      <c r="A1" s="1" t="inlineStr">
        <is>
          <t>RACIOCÍNIO — COMO ESTA V2 FOI CONSTRUÍDA DO ZERO</t>
        </is>
      </c>
    </row>
    <row r="3">
      <c r="A3" s="19" t="inlineStr">
        <is>
          <t>1. Filtro</t>
        </is>
      </c>
      <c r="B3" s="20" t="inlineStr">
        <is>
          <t>Da BASE DE SS PENDENTES POSTO DO COEP (111 SS), selecionadas as com código de Localização iniciando em 79 (Religador/RL: 37 SS), 58 (Regulador de Tensão/RT: 13 SS) e 59 (Banco de Capacitor/BC: 32 SS) = 82 SS. Prefixos 57 (chaves), 88, 68, 30 e 90 ficaram fora.</t>
        </is>
      </c>
    </row>
    <row r="4">
      <c r="A4" s="19" t="inlineStr">
        <is>
          <t>2. Leitura da descrição</t>
        </is>
      </c>
      <c r="B4" s="20" t="inlineStr">
        <is>
          <t>Cada descrição foi lida integralmente. Quando há PARECER DMSL (equipe técnica que foi a campo), ele prevalece sobre o texto do solicitante; quando há PARECER COEP restringindo escopo (ex.: trafo/bucha = COCM), a SS fica sem compra.</t>
        </is>
      </c>
    </row>
    <row r="5">
      <c r="A5" s="19" t="inlineStr">
        <is>
          <t>3. Peça a substituir</t>
        </is>
      </c>
      <c r="B5" s="20" t="inlineStr">
        <is>
          <t>Classificação: PARTE ATIVA/TANQUE · CONTROLE COMPLETO · EQUIPAMENTO COMPLETO (tanque+controle) · RELÉ · PLACA (=&gt; tratada como CONTROLE, premissa do usuário) · CHAVE FACA (por fase) · RÁDIO/BATERIA · CÉLULA de regulador (1 a 3) · CÉLULA de BC por fase.</t>
        </is>
      </c>
    </row>
    <row r="6">
      <c r="A6" s="19" t="inlineStr">
        <is>
          <t>4. Tensão</t>
        </is>
      </c>
      <c r="B6" s="20" t="inlineStr">
        <is>
          <t>RL: aba 'Ajustes RL Poste' (Ajustes_Religadores_1), confirmada em EQUIPAMENTOS_ETO — 100% dos 37 resolvidos (1 só via ETO 30). RT: EQUIPAMENTOS_ETO de Ajustes_Reguladores_2 (QTD_TENS_NOMI_INC) — 13/13 resolvidos. BC: SOMENTE quando a tensão está escrita na própria SS (aba separada).</t>
        </is>
      </c>
    </row>
    <row r="7">
      <c r="A7" s="19" t="inlineStr">
        <is>
          <t>5. Materiais</t>
        </is>
      </c>
      <c r="B7" s="20" t="inlineStr">
        <is>
          <t>Preços da aba PREMISSAS: religador completo/parte ativa/controle por tensão; relé 10.454,01; chave 736,43/fase; rádio+bateria 14.612,08; célula de RT por tensão/potência (completo = 3 células). Potência do RT via ETO 30; quando ausente, assumido 239kVA (13,8) / 200kVA (34,5) com flag VERIFICAR.</t>
        </is>
      </c>
    </row>
    <row r="8">
      <c r="A8" s="19" t="inlineStr">
        <is>
          <t>6. Mão de obra</t>
        </is>
      </c>
      <c r="B8" s="20" t="inlineStr">
        <is>
          <t>ETO 30 (Relação de Equipamentos Indisponíveis), coluna 'Custo MO': Religador 13,8 = 11.016,94 e 34,5 = 13.209,34; Regulador 13,8 = 51.402,14 e 34,5 = 80.318,50. Padrão observado na própria ETO 30: serviço só de CONTROLE de regulador tem MO = 0.</t>
        </is>
      </c>
    </row>
    <row r="9">
      <c r="A9" s="19" t="inlineStr">
        <is>
          <t>7. ETO COEP TODOS OS STATUS</t>
        </is>
      </c>
      <c r="B9" s="20" t="inlineStr">
        <is>
          <t>NÃO utilizada nesta v2 — reservada para o próximo raciocínio, conforme instrução.</t>
        </is>
      </c>
    </row>
    <row r="10">
      <c r="A10" s="19" t="inlineStr">
        <is>
          <t>Validação</t>
        </is>
      </c>
      <c r="B10" s="20" t="inlineStr">
        <is>
          <t>Cruzamento com a ETO 30 fecha centavo a centavo: RT 5844630060 (1 célula 239kVA + MO 13,8 = 113.515,34) e RT 5856070091 (3 células 400kVA + MO 34,5 = 351.008,50).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2026-07-08T12:14:07Z</dcterms:created>
  <dcterms:modified xsi:type="dcterms:W3CDTF">2026-07-08T12:14:07Z</dcterms:modified>
</cp:coreProperties>
</file>